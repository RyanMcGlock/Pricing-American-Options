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2A83F17-0490-4234-B801-BA511E055A59}" xr6:coauthVersionLast="28" xr6:coauthVersionMax="28" xr10:uidLastSave="{00000000-0000-0000-0000-000000000000}"/>
  <workbookProtection lockStructure="1"/>
  <bookViews>
    <workbookView xWindow="620" yWindow="440" windowWidth="32980" windowHeight="20560" activeTab="2" xr2:uid="{F814FAB3-D833-48D7-A0DC-2F7DB60D1A5E}"/>
  </bookViews>
  <sheets>
    <sheet name="CRR Tree Forward" sheetId="8" r:id="rId1"/>
    <sheet name="Derman European" sheetId="19" r:id="rId2"/>
    <sheet name="Derman American" sheetId="22" r:id="rId3"/>
    <sheet name="Forward Rates" sheetId="7" r:id="rId4"/>
    <sheet name="DividendsBBG" sheetId="9" r:id="rId5"/>
    <sheet name="March Options" sheetId="12" r:id="rId6"/>
    <sheet name="April Options" sheetId="11" r:id="rId7"/>
    <sheet name="May Options" sheetId="13" r:id="rId8"/>
    <sheet name="June Options" sheetId="14" r:id="rId9"/>
    <sheet name="July Options" sheetId="15" r:id="rId10"/>
    <sheet name="Aug Options" sheetId="16" r:id="rId11"/>
    <sheet name="Sep Options" sheetId="17" r:id="rId12"/>
    <sheet name="Oct Options" sheetId="21" r:id="rId13"/>
    <sheet name="Tree Template" sheetId="1" r:id="rId14"/>
  </sheets>
  <functionGroups builtInGroupCount="19"/>
  <definedNames>
    <definedName name="delta_t" localSheetId="1">'Derman European'!$J$2</definedName>
    <definedName name="delta_t">#REF!</definedName>
    <definedName name="lambda_00" localSheetId="1">'Derman European'!#REF!</definedName>
    <definedName name="lambda_00">#REF!</definedName>
    <definedName name="lambda_10" localSheetId="1">'Derman European'!#REF!</definedName>
    <definedName name="lambda_10">#REF!</definedName>
    <definedName name="lambda00" localSheetId="1">'Derman European'!#REF!</definedName>
    <definedName name="lambda00">#REF!</definedName>
    <definedName name="lambda10" localSheetId="1">'Derman European'!#REF!</definedName>
    <definedName name="lambda10">#REF!</definedName>
    <definedName name="s_00" localSheetId="1">'Derman European'!#REF!</definedName>
    <definedName name="s_00">#REF!</definedName>
    <definedName name="s_10" localSheetId="1">'Derman European'!#REF!</definedName>
    <definedName name="s_10">#REF!</definedName>
    <definedName name="s0" localSheetId="1">'Derman European'!#REF!</definedName>
    <definedName name="s0">#REF!</definedName>
    <definedName name="s00" localSheetId="1">'Derman European'!#REF!</definedName>
    <definedName name="s00">#REF!</definedName>
    <definedName name="v_00" localSheetId="1">'Derman European'!#REF!</definedName>
    <definedName name="v_00">#REF!</definedName>
    <definedName name="v_10" localSheetId="1">'Derman European'!#REF!</definedName>
    <definedName name="v_10">#REF!</definedName>
    <definedName name="v00" localSheetId="1">'Derman European'!#REF!</definedName>
    <definedName name="v00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7" l="1"/>
  <c r="L10" i="22"/>
  <c r="L9" i="22"/>
  <c r="L8" i="22"/>
  <c r="F7" i="22"/>
  <c r="L10" i="19"/>
  <c r="L9" i="19"/>
  <c r="L8" i="19"/>
  <c r="F7" i="19"/>
  <c r="AC12" i="8"/>
  <c r="AC11" i="8"/>
  <c r="AC10" i="8"/>
  <c r="W10" i="8"/>
  <c r="B8" i="8"/>
  <c r="J12" i="22" l="1"/>
  <c r="H12" i="22"/>
  <c r="D12" i="22"/>
  <c r="F12" i="22"/>
  <c r="J5" i="22"/>
  <c r="H5" i="22"/>
  <c r="F5" i="22"/>
  <c r="L4" i="22"/>
  <c r="L5" i="22" s="1"/>
  <c r="L7" i="22" s="1"/>
  <c r="J4" i="22"/>
  <c r="H4" i="22"/>
  <c r="F4" i="22"/>
  <c r="D4" i="22"/>
  <c r="D5" i="22" s="1"/>
  <c r="AB3" i="22"/>
  <c r="AA3" i="22"/>
  <c r="Z3" i="22"/>
  <c r="X3" i="22"/>
  <c r="V3" i="22"/>
  <c r="T3" i="22"/>
  <c r="R3" i="22"/>
  <c r="A2" i="22"/>
  <c r="B12" i="22" l="1"/>
  <c r="B31" i="22" s="1"/>
  <c r="L11" i="22"/>
  <c r="F8" i="22"/>
  <c r="P25" i="22"/>
  <c r="B33" i="22" l="1"/>
  <c r="F33" i="22" s="1"/>
  <c r="J31" i="22"/>
  <c r="F31" i="22"/>
  <c r="D13" i="22"/>
  <c r="F8" i="19"/>
  <c r="X25" i="22"/>
  <c r="T25" i="22"/>
  <c r="H13" i="22" l="1"/>
  <c r="H34" i="22" s="1"/>
  <c r="AA3" i="19"/>
  <c r="AB3" i="19"/>
  <c r="T3" i="19"/>
  <c r="V3" i="19"/>
  <c r="X3" i="19"/>
  <c r="Z3" i="19"/>
  <c r="R3" i="19"/>
  <c r="H4" i="19"/>
  <c r="H5" i="19" s="1"/>
  <c r="D4" i="19"/>
  <c r="D5" i="19" s="1"/>
  <c r="F4" i="19"/>
  <c r="F5" i="19" s="1"/>
  <c r="A2" i="19"/>
  <c r="L11" i="19" s="1"/>
  <c r="J12" i="19"/>
  <c r="H12" i="19"/>
  <c r="D12" i="19"/>
  <c r="J33" i="22" l="1"/>
  <c r="F12" i="19"/>
  <c r="D34" i="22" l="1"/>
  <c r="D28" i="22"/>
  <c r="L13" i="22"/>
  <c r="L34" i="22" s="1"/>
  <c r="AA15" i="8"/>
  <c r="Y15" i="8"/>
  <c r="U15" i="8"/>
  <c r="R23" i="22"/>
  <c r="Z27" i="22"/>
  <c r="R27" i="22"/>
  <c r="F25" i="22" l="1"/>
  <c r="L28" i="22"/>
  <c r="B34" i="22"/>
  <c r="C6" i="7"/>
  <c r="D6" i="7"/>
  <c r="AD6" i="8"/>
  <c r="Y6" i="8"/>
  <c r="W6" i="8"/>
  <c r="U6" i="8"/>
  <c r="T21" i="22"/>
  <c r="Z23" i="22"/>
  <c r="D35" i="22" l="1"/>
  <c r="D36" i="22" s="1"/>
  <c r="F37" i="22" s="1"/>
  <c r="D29" i="22"/>
  <c r="D30" i="22" s="1"/>
  <c r="F24" i="22" s="1"/>
  <c r="J34" i="22"/>
  <c r="J4" i="19"/>
  <c r="J5" i="19" s="1"/>
  <c r="B6" i="8"/>
  <c r="E40" i="8"/>
  <c r="T29" i="22"/>
  <c r="D37" i="22" l="1"/>
  <c r="F38" i="22" s="1"/>
  <c r="F39" i="22" s="1"/>
  <c r="P50" i="22"/>
  <c r="E42" i="8"/>
  <c r="D31" i="22" l="1"/>
  <c r="F26" i="22" l="1"/>
  <c r="F32" i="22"/>
  <c r="T26" i="22" l="1"/>
  <c r="T27" i="22"/>
  <c r="F27" i="22"/>
  <c r="F35" i="22"/>
  <c r="T52" i="22" l="1"/>
  <c r="P52" i="22"/>
  <c r="R52" i="22"/>
  <c r="P51" i="22"/>
  <c r="R48" i="22"/>
  <c r="H28" i="22" l="1"/>
  <c r="E6" i="7"/>
  <c r="F6" i="7"/>
  <c r="G6" i="7"/>
  <c r="H6" i="7"/>
  <c r="AA6" i="8"/>
  <c r="F7" i="7"/>
  <c r="G7" i="7"/>
  <c r="H7" i="7"/>
  <c r="E7" i="7"/>
  <c r="D7" i="7"/>
  <c r="B9" i="8"/>
  <c r="AA7" i="8"/>
  <c r="AD7" i="8"/>
  <c r="Y7" i="8"/>
  <c r="W7" i="8"/>
  <c r="W9" i="8" s="1"/>
  <c r="U7" i="8"/>
  <c r="V23" i="22"/>
  <c r="V27" i="22"/>
  <c r="AC13" i="8" l="1"/>
  <c r="B11" i="8"/>
  <c r="G37" i="8" s="1"/>
  <c r="J25" i="22"/>
  <c r="H22" i="22"/>
  <c r="F28" i="22" s="1"/>
  <c r="H23" i="22" s="1"/>
  <c r="J37" i="22"/>
  <c r="L40" i="22" s="1"/>
  <c r="H21" i="22"/>
  <c r="F34" i="22"/>
  <c r="H40" i="22"/>
  <c r="AC6" i="8"/>
  <c r="AC7" i="8" s="1"/>
  <c r="L4" i="19"/>
  <c r="L5" i="19" s="1"/>
  <c r="W15" i="8"/>
  <c r="V31" i="22"/>
  <c r="Z31" i="22"/>
  <c r="V19" i="22"/>
  <c r="L7" i="19" l="1"/>
  <c r="B12" i="19" s="1"/>
  <c r="B31" i="19" s="1"/>
  <c r="B7" i="8"/>
  <c r="AC9" i="8"/>
  <c r="S15" i="8" s="1"/>
  <c r="I34" i="8"/>
  <c r="G39" i="8"/>
  <c r="H24" i="22"/>
  <c r="J18" i="22" s="1"/>
  <c r="V25" i="22"/>
  <c r="V24" i="22"/>
  <c r="H29" i="22"/>
  <c r="J19" i="22"/>
  <c r="L22" i="22"/>
  <c r="F40" i="22"/>
  <c r="H41" i="22" s="1"/>
  <c r="Z19" i="22"/>
  <c r="H30" i="22"/>
  <c r="X17" i="22"/>
  <c r="J31" i="19" l="1"/>
  <c r="B65" i="19"/>
  <c r="F31" i="19"/>
  <c r="F65" i="19" s="1"/>
  <c r="K31" i="8"/>
  <c r="I36" i="8"/>
  <c r="J24" i="22"/>
  <c r="L16" i="22"/>
  <c r="H42" i="22"/>
  <c r="J43" i="22" s="1"/>
  <c r="V28" i="22"/>
  <c r="V29" i="22"/>
  <c r="H35" i="22"/>
  <c r="B12" i="8"/>
  <c r="B13" i="8" s="1"/>
  <c r="J65" i="19"/>
  <c r="S40" i="8"/>
  <c r="U37" i="8" s="1"/>
  <c r="U39" i="8" s="1"/>
  <c r="B66" i="19"/>
  <c r="H36" i="22"/>
  <c r="B67" i="19"/>
  <c r="F66" i="19"/>
  <c r="Z15" i="22"/>
  <c r="M28" i="8" l="1"/>
  <c r="K33" i="8"/>
  <c r="J36" i="22"/>
  <c r="T50" i="22"/>
  <c r="R50" i="22"/>
  <c r="R53" i="22"/>
  <c r="R54" i="22"/>
  <c r="T54" i="22"/>
  <c r="T46" i="22"/>
  <c r="R49" i="22"/>
  <c r="B33" i="19"/>
  <c r="J33" i="19" s="1"/>
  <c r="B14" i="8"/>
  <c r="G43" i="8"/>
  <c r="AA40" i="8"/>
  <c r="AA42" i="8" s="1"/>
  <c r="AA52" i="8"/>
  <c r="AA54" i="8" s="1"/>
  <c r="AC49" i="8"/>
  <c r="AC51" i="8" s="1"/>
  <c r="AC50" i="8" s="1"/>
  <c r="Y49" i="8"/>
  <c r="Y51" i="8" s="1"/>
  <c r="AA46" i="8"/>
  <c r="U43" i="8"/>
  <c r="U45" i="8" s="1"/>
  <c r="AC43" i="8"/>
  <c r="Y43" i="8"/>
  <c r="Y45" i="8" s="1"/>
  <c r="W46" i="8"/>
  <c r="W48" i="8" s="1"/>
  <c r="AC37" i="8"/>
  <c r="AC39" i="8" s="1"/>
  <c r="AC38" i="8" s="1"/>
  <c r="AA34" i="8"/>
  <c r="AA36" i="8" s="1"/>
  <c r="AC31" i="8"/>
  <c r="AC33" i="8" s="1"/>
  <c r="AC32" i="8" s="1"/>
  <c r="AC25" i="8"/>
  <c r="AC27" i="8" s="1"/>
  <c r="AC26" i="8" s="1"/>
  <c r="AA29" i="8" s="1"/>
  <c r="W40" i="8"/>
  <c r="W42" i="8" s="1"/>
  <c r="W34" i="8"/>
  <c r="W36" i="8" s="1"/>
  <c r="Y31" i="8"/>
  <c r="Y33" i="8" s="1"/>
  <c r="Y37" i="8"/>
  <c r="Y39" i="8" s="1"/>
  <c r="AA28" i="8"/>
  <c r="AA30" i="8" s="1"/>
  <c r="AC55" i="8"/>
  <c r="AC57" i="8" s="1"/>
  <c r="AC56" i="8" s="1"/>
  <c r="S42" i="8"/>
  <c r="X33" i="22"/>
  <c r="X21" i="22"/>
  <c r="F67" i="19"/>
  <c r="X29" i="22"/>
  <c r="M30" i="8" l="1"/>
  <c r="O25" i="8"/>
  <c r="O27" i="8" s="1"/>
  <c r="O26" i="8" s="1"/>
  <c r="H43" i="22"/>
  <c r="J44" i="22" s="1"/>
  <c r="H37" i="22"/>
  <c r="H25" i="22"/>
  <c r="J20" i="22" s="1"/>
  <c r="F33" i="19"/>
  <c r="T27" i="19" s="1"/>
  <c r="D13" i="19"/>
  <c r="D28" i="19" s="1"/>
  <c r="D63" i="19" s="1"/>
  <c r="H31" i="22"/>
  <c r="AA53" i="8"/>
  <c r="AA35" i="8"/>
  <c r="AA37" i="8" s="1"/>
  <c r="I46" i="8"/>
  <c r="I40" i="8"/>
  <c r="G45" i="8"/>
  <c r="L13" i="19"/>
  <c r="AO30" i="8"/>
  <c r="AM29" i="8"/>
  <c r="AO26" i="8"/>
  <c r="AA31" i="8"/>
  <c r="AC45" i="8"/>
  <c r="AC44" i="8" s="1"/>
  <c r="AM37" i="8" s="1"/>
  <c r="AA48" i="8"/>
  <c r="AO42" i="8"/>
  <c r="AA55" i="8"/>
  <c r="D64" i="19"/>
  <c r="J38" i="22" l="1"/>
  <c r="X23" i="22"/>
  <c r="X22" i="22"/>
  <c r="J45" i="22"/>
  <c r="X31" i="22"/>
  <c r="X30" i="22"/>
  <c r="J21" i="22"/>
  <c r="L15" i="22" s="1"/>
  <c r="J32" i="22"/>
  <c r="J26" i="22"/>
  <c r="D34" i="19"/>
  <c r="D67" i="19" s="1"/>
  <c r="P27" i="19"/>
  <c r="H13" i="19"/>
  <c r="H34" i="19" s="1"/>
  <c r="AA41" i="8"/>
  <c r="Y38" i="8" s="1"/>
  <c r="AM41" i="8"/>
  <c r="AA47" i="8"/>
  <c r="Y50" i="8" s="1"/>
  <c r="I42" i="8"/>
  <c r="K37" i="8"/>
  <c r="K49" i="8"/>
  <c r="K43" i="8"/>
  <c r="I48" i="8"/>
  <c r="L34" i="19"/>
  <c r="L28" i="19"/>
  <c r="L63" i="19" s="1"/>
  <c r="AO34" i="8"/>
  <c r="AO38" i="8"/>
  <c r="AM33" i="8"/>
  <c r="Y32" i="8"/>
  <c r="AM28" i="8"/>
  <c r="AK31" i="8"/>
  <c r="AM32" i="8"/>
  <c r="J39" i="22"/>
  <c r="D65" i="19"/>
  <c r="D68" i="19"/>
  <c r="J27" i="22"/>
  <c r="L64" i="19"/>
  <c r="AA43" i="8" l="1"/>
  <c r="AM40" i="8"/>
  <c r="Y44" i="8"/>
  <c r="AK38" i="8" s="1"/>
  <c r="H28" i="19"/>
  <c r="H63" i="19" s="1"/>
  <c r="L21" i="22"/>
  <c r="L39" i="22"/>
  <c r="V52" i="22"/>
  <c r="T56" i="22"/>
  <c r="T55" i="22"/>
  <c r="T51" i="22"/>
  <c r="T48" i="22"/>
  <c r="T47" i="22"/>
  <c r="V48" i="22"/>
  <c r="V44" i="22"/>
  <c r="J40" i="22"/>
  <c r="L35" i="22" s="1"/>
  <c r="L46" i="22"/>
  <c r="B34" i="19"/>
  <c r="D35" i="19" s="1"/>
  <c r="V56" i="22"/>
  <c r="AM36" i="8"/>
  <c r="AK39" i="8"/>
  <c r="M40" i="8"/>
  <c r="K45" i="8"/>
  <c r="M46" i="8"/>
  <c r="K51" i="8"/>
  <c r="M52" i="8"/>
  <c r="AA49" i="8"/>
  <c r="K39" i="8"/>
  <c r="M34" i="8"/>
  <c r="AK35" i="8"/>
  <c r="H67" i="19"/>
  <c r="L67" i="19"/>
  <c r="J34" i="19"/>
  <c r="W35" i="8"/>
  <c r="Y52" i="8"/>
  <c r="AM42" i="8"/>
  <c r="AK30" i="8"/>
  <c r="AM30" i="8"/>
  <c r="Y34" i="8"/>
  <c r="AI37" i="8"/>
  <c r="W41" i="8"/>
  <c r="Y40" i="8"/>
  <c r="AM34" i="8"/>
  <c r="Z35" i="22"/>
  <c r="L68" i="19"/>
  <c r="H64" i="19"/>
  <c r="H68" i="19"/>
  <c r="L65" i="19"/>
  <c r="D69" i="19"/>
  <c r="F34" i="19" l="1"/>
  <c r="AM38" i="8"/>
  <c r="W47" i="8"/>
  <c r="AK40" i="8" s="1"/>
  <c r="Y46" i="8"/>
  <c r="AK34" i="8"/>
  <c r="D29" i="19"/>
  <c r="D30" i="19" s="1"/>
  <c r="F25" i="19" s="1"/>
  <c r="J22" i="22"/>
  <c r="L17" i="22" s="1"/>
  <c r="J28" i="22"/>
  <c r="L29" i="22" s="1"/>
  <c r="J46" i="22"/>
  <c r="D36" i="19"/>
  <c r="F37" i="19" s="1"/>
  <c r="F69" i="19" s="1"/>
  <c r="O43" i="8"/>
  <c r="O45" i="8" s="1"/>
  <c r="O44" i="8" s="1"/>
  <c r="M48" i="8"/>
  <c r="O31" i="8"/>
  <c r="O33" i="8" s="1"/>
  <c r="O32" i="8" s="1"/>
  <c r="M36" i="8"/>
  <c r="M42" i="8"/>
  <c r="O37" i="8"/>
  <c r="O39" i="8" s="1"/>
  <c r="O38" i="8" s="1"/>
  <c r="U38" i="8"/>
  <c r="U40" i="8" s="1"/>
  <c r="O49" i="8"/>
  <c r="O51" i="8" s="1"/>
  <c r="O50" i="8" s="1"/>
  <c r="M54" i="8"/>
  <c r="O55" i="8"/>
  <c r="O57" i="8" s="1"/>
  <c r="O56" i="8" s="1"/>
  <c r="AI32" i="8"/>
  <c r="W43" i="8"/>
  <c r="AK36" i="8"/>
  <c r="AI33" i="8"/>
  <c r="W37" i="8"/>
  <c r="AG35" i="8"/>
  <c r="AK32" i="8"/>
  <c r="H65" i="19"/>
  <c r="H69" i="19"/>
  <c r="L69" i="19"/>
  <c r="F70" i="19"/>
  <c r="U44" i="8" l="1"/>
  <c r="W49" i="8"/>
  <c r="AI36" i="8"/>
  <c r="M53" i="8"/>
  <c r="AG34" i="8"/>
  <c r="D37" i="19"/>
  <c r="F38" i="19" s="1"/>
  <c r="Z20" i="22"/>
  <c r="Z21" i="22"/>
  <c r="L18" i="22"/>
  <c r="L23" i="22"/>
  <c r="L47" i="22"/>
  <c r="L41" i="22"/>
  <c r="P25" i="19"/>
  <c r="M47" i="8"/>
  <c r="K50" i="8" s="1"/>
  <c r="K52" i="8" s="1"/>
  <c r="M55" i="8"/>
  <c r="M29" i="8"/>
  <c r="M35" i="8"/>
  <c r="M37" i="8" s="1"/>
  <c r="D31" i="19"/>
  <c r="F61" i="19"/>
  <c r="M41" i="8"/>
  <c r="U46" i="8"/>
  <c r="AI38" i="8"/>
  <c r="S41" i="8"/>
  <c r="AG36" i="8" s="1"/>
  <c r="AI34" i="8"/>
  <c r="F62" i="19"/>
  <c r="L24" i="22"/>
  <c r="F71" i="19"/>
  <c r="M49" i="8" l="1"/>
  <c r="Z28" i="22"/>
  <c r="Z29" i="22"/>
  <c r="Z33" i="22"/>
  <c r="Z32" i="22"/>
  <c r="L48" i="22"/>
  <c r="Z25" i="22"/>
  <c r="Z24" i="22"/>
  <c r="V46" i="22"/>
  <c r="F39" i="19"/>
  <c r="H40" i="19" s="1"/>
  <c r="M43" i="8"/>
  <c r="K44" i="8"/>
  <c r="K32" i="8"/>
  <c r="M31" i="8"/>
  <c r="F26" i="19"/>
  <c r="F32" i="19"/>
  <c r="K38" i="8"/>
  <c r="R27" i="19"/>
  <c r="S43" i="8"/>
  <c r="L42" i="22"/>
  <c r="L30" i="22"/>
  <c r="L36" i="22"/>
  <c r="F63" i="19"/>
  <c r="V53" i="22" l="1"/>
  <c r="X50" i="22"/>
  <c r="V50" i="22"/>
  <c r="V57" i="22"/>
  <c r="V54" i="22"/>
  <c r="V49" i="22"/>
  <c r="V45" i="22"/>
  <c r="X46" i="22"/>
  <c r="X54" i="22"/>
  <c r="X58" i="22"/>
  <c r="V58" i="22"/>
  <c r="F27" i="19"/>
  <c r="R23" i="19" s="1"/>
  <c r="H71" i="19"/>
  <c r="F40" i="19"/>
  <c r="H41" i="19" s="1"/>
  <c r="K46" i="8"/>
  <c r="I47" i="8"/>
  <c r="I49" i="8" s="1"/>
  <c r="I41" i="8"/>
  <c r="K40" i="8"/>
  <c r="K34" i="8"/>
  <c r="I35" i="8"/>
  <c r="H72" i="19"/>
  <c r="P26" i="19" l="1"/>
  <c r="H22" i="19"/>
  <c r="F28" i="19" s="1"/>
  <c r="H35" i="19"/>
  <c r="H36" i="19" s="1"/>
  <c r="G44" i="8"/>
  <c r="G46" i="8" s="1"/>
  <c r="I43" i="8"/>
  <c r="I37" i="8"/>
  <c r="G38" i="8"/>
  <c r="H73" i="19"/>
  <c r="H59" i="19" l="1"/>
  <c r="H42" i="19"/>
  <c r="T29" i="19" s="1"/>
  <c r="G40" i="8"/>
  <c r="E41" i="8"/>
  <c r="E43" i="8" s="1"/>
  <c r="H29" i="19"/>
  <c r="H23" i="19"/>
  <c r="R29" i="19"/>
  <c r="J37" i="19"/>
  <c r="J43" i="19" s="1"/>
  <c r="H60" i="19"/>
  <c r="H61" i="19"/>
  <c r="H30" i="19" l="1"/>
  <c r="T25" i="19" s="1"/>
  <c r="J69" i="19"/>
  <c r="H37" i="19"/>
  <c r="H24" i="19"/>
  <c r="J70" i="19"/>
  <c r="R28" i="19" l="1"/>
  <c r="J25" i="19"/>
  <c r="H31" i="19" s="1"/>
  <c r="R25" i="19"/>
  <c r="J61" i="19"/>
  <c r="R24" i="19"/>
  <c r="T21" i="19"/>
  <c r="J73" i="19"/>
  <c r="H43" i="19"/>
  <c r="J44" i="19" s="1"/>
  <c r="J62" i="19"/>
  <c r="J71" i="19"/>
  <c r="J74" i="19"/>
  <c r="J19" i="19" l="1"/>
  <c r="J57" i="19" s="1"/>
  <c r="J32" i="19"/>
  <c r="J38" i="19"/>
  <c r="J63" i="19"/>
  <c r="J58" i="19"/>
  <c r="J75" i="19"/>
  <c r="H25" i="19" l="1"/>
  <c r="J20" i="19" s="1"/>
  <c r="J45" i="19"/>
  <c r="J39" i="19"/>
  <c r="J59" i="19"/>
  <c r="J26" i="19" l="1"/>
  <c r="J27" i="19" s="1"/>
  <c r="T23" i="19" s="1"/>
  <c r="J21" i="19"/>
  <c r="T22" i="19" s="1"/>
  <c r="L40" i="19"/>
  <c r="L46" i="19" s="1"/>
  <c r="T31" i="19"/>
  <c r="V31" i="19"/>
  <c r="T30" i="19"/>
  <c r="V27" i="19"/>
  <c r="L22" i="19" l="1"/>
  <c r="J28" i="19" s="1"/>
  <c r="L29" i="19" s="1"/>
  <c r="V19" i="19"/>
  <c r="T26" i="19"/>
  <c r="V23" i="19"/>
  <c r="L71" i="19"/>
  <c r="J40" i="19"/>
  <c r="L35" i="19" s="1"/>
  <c r="L72" i="19"/>
  <c r="L59" i="19" l="1"/>
  <c r="L16" i="19"/>
  <c r="L55" i="19" s="1"/>
  <c r="J46" i="19"/>
  <c r="L41" i="19" s="1"/>
  <c r="L75" i="19"/>
  <c r="L60" i="19"/>
  <c r="L61" i="19" s="1"/>
  <c r="L56" i="19"/>
  <c r="L57" i="19" s="1"/>
  <c r="L76" i="19"/>
  <c r="L73" i="19"/>
  <c r="J22" i="19" l="1"/>
  <c r="L36" i="19"/>
  <c r="L47" i="19"/>
  <c r="L42" i="19" s="1"/>
  <c r="L77" i="19"/>
  <c r="L17" i="19" l="1"/>
  <c r="L23" i="19"/>
  <c r="L30" i="19" s="1"/>
  <c r="V25" i="19" s="1"/>
  <c r="V33" i="19"/>
  <c r="V29" i="19"/>
  <c r="X29" i="19"/>
  <c r="V28" i="19"/>
  <c r="L48" i="19"/>
  <c r="X33" i="19" s="1"/>
  <c r="X25" i="19" l="1"/>
  <c r="L18" i="19"/>
  <c r="V20" i="19" s="1"/>
  <c r="L24" i="19"/>
  <c r="V32" i="19"/>
  <c r="X17" i="19" l="1"/>
  <c r="V21" i="19"/>
  <c r="X21" i="19"/>
  <c r="V24" i="19"/>
</calcChain>
</file>

<file path=xl/sharedStrings.xml><?xml version="1.0" encoding="utf-8"?>
<sst xmlns="http://schemas.openxmlformats.org/spreadsheetml/2006/main" count="2145" uniqueCount="970">
  <si>
    <t>K</t>
  </si>
  <si>
    <t>u</t>
  </si>
  <si>
    <t>d</t>
  </si>
  <si>
    <t>p</t>
  </si>
  <si>
    <t>r</t>
  </si>
  <si>
    <t>Stock Price</t>
  </si>
  <si>
    <t>Value of Option</t>
  </si>
  <si>
    <t>Payoff of Option/Intrinsic Value</t>
  </si>
  <si>
    <t>Inputs</t>
  </si>
  <si>
    <t>N/A</t>
  </si>
  <si>
    <t>Greeks</t>
  </si>
  <si>
    <t>Delta</t>
  </si>
  <si>
    <t>Gamma</t>
  </si>
  <si>
    <t>Theta</t>
  </si>
  <si>
    <t>Legend Tree</t>
  </si>
  <si>
    <t>Legend Delta</t>
  </si>
  <si>
    <t>Option Type: Call = 1, Put = -1</t>
  </si>
  <si>
    <t>Tree</t>
  </si>
  <si>
    <t>Local Vol</t>
  </si>
  <si>
    <t>𝛔</t>
  </si>
  <si>
    <t>𝚫t</t>
  </si>
  <si>
    <t>S0</t>
  </si>
  <si>
    <t>American CRR</t>
  </si>
  <si>
    <t>May</t>
  </si>
  <si>
    <t>Aug</t>
  </si>
  <si>
    <t>June</t>
  </si>
  <si>
    <t>US Dollar Swaps (30/360, S/A) Curve (REF)</t>
  </si>
  <si>
    <t>Tenor</t>
  </si>
  <si>
    <t>Spot</t>
  </si>
  <si>
    <t>1 Mo (P)</t>
  </si>
  <si>
    <t>2 Mo (P)</t>
  </si>
  <si>
    <t>3 Mo (P)</t>
  </si>
  <si>
    <t>4 Mo (P)</t>
  </si>
  <si>
    <t>5 Mo (P)</t>
  </si>
  <si>
    <t>1 Mo</t>
  </si>
  <si>
    <t>2 Mo</t>
  </si>
  <si>
    <t>3 Mo</t>
  </si>
  <si>
    <t>6 Mo</t>
  </si>
  <si>
    <t>9 Mo</t>
  </si>
  <si>
    <t>1 Yr</t>
  </si>
  <si>
    <t>2 Yr</t>
  </si>
  <si>
    <t>3 Yr</t>
  </si>
  <si>
    <t>4 Yr</t>
  </si>
  <si>
    <t>5 Yr</t>
  </si>
  <si>
    <t>7 Yr</t>
  </si>
  <si>
    <t>9 Yr</t>
  </si>
  <si>
    <t>10 Yr</t>
  </si>
  <si>
    <t>12 Yr</t>
  </si>
  <si>
    <t>15 Yr</t>
  </si>
  <si>
    <t>20 Yr</t>
  </si>
  <si>
    <t>30 Yr</t>
  </si>
  <si>
    <t>50 Yr</t>
  </si>
  <si>
    <t>6m</t>
  </si>
  <si>
    <t>1m</t>
  </si>
  <si>
    <t>2m</t>
  </si>
  <si>
    <t>3m</t>
  </si>
  <si>
    <t>4m</t>
  </si>
  <si>
    <t>5m</t>
  </si>
  <si>
    <t>BBG %</t>
  </si>
  <si>
    <t>Decimal</t>
  </si>
  <si>
    <t>April</t>
  </si>
  <si>
    <t>July</t>
  </si>
  <si>
    <t>March</t>
  </si>
  <si>
    <t>4 Mo</t>
  </si>
  <si>
    <t>5 Mo</t>
  </si>
  <si>
    <t>Dividends $</t>
  </si>
  <si>
    <t>Forward Centering 0xm</t>
  </si>
  <si>
    <t>-</t>
  </si>
  <si>
    <t>PV</t>
  </si>
  <si>
    <t>Strike</t>
  </si>
  <si>
    <t>Amer</t>
  </si>
  <si>
    <t>AAPL 4/20/18 P320</t>
  </si>
  <si>
    <t>AAPL 4/20/18 C320</t>
  </si>
  <si>
    <t>AAPL 4/20/18 P315</t>
  </si>
  <si>
    <t>AAPL 4/20/18 C315</t>
  </si>
  <si>
    <t>AAPL 4/20/18 P310</t>
  </si>
  <si>
    <t>AAPL 4/20/18 C310</t>
  </si>
  <si>
    <t>AAPL 4/20/18 P305</t>
  </si>
  <si>
    <t>AAPL 4/20/18 C305</t>
  </si>
  <si>
    <t>AAPL 4/20/18 P300</t>
  </si>
  <si>
    <t>AAPL 4/20/18 C300</t>
  </si>
  <si>
    <t>AAPL 4/20/18 P295</t>
  </si>
  <si>
    <t>AAPL 4/20/18 C295</t>
  </si>
  <si>
    <t>AAPL 4/20/18 P290</t>
  </si>
  <si>
    <t>AAPL 4/20/18 C290</t>
  </si>
  <si>
    <t>AAPL 4/20/18 P285</t>
  </si>
  <si>
    <t>AAPL 4/20/18 C285</t>
  </si>
  <si>
    <t>AAPL 4/20/18 P280</t>
  </si>
  <si>
    <t>AAPL 4/20/18 C280</t>
  </si>
  <si>
    <t>AAPL 4/20/18 P275</t>
  </si>
  <si>
    <t>AAPL 4/20/18 C275</t>
  </si>
  <si>
    <t>AAPL 4/20/18 P270</t>
  </si>
  <si>
    <t>AAPL 4/20/18 C270</t>
  </si>
  <si>
    <t>AAPL 4/20/18 P265</t>
  </si>
  <si>
    <t>AAPL 4/20/18 C265</t>
  </si>
  <si>
    <t>AAPL 4/20/18 P260</t>
  </si>
  <si>
    <t>AAPL 4/20/18 C260</t>
  </si>
  <si>
    <t>AAPL 4/20/18 P255</t>
  </si>
  <si>
    <t>AAPL 4/20/18 C255</t>
  </si>
  <si>
    <t>AAPL 4/20/18 P250</t>
  </si>
  <si>
    <t>AAPL 4/20/18 C250</t>
  </si>
  <si>
    <t>AAPL 4/20/18 P245</t>
  </si>
  <si>
    <t>AAPL 4/20/18 C245</t>
  </si>
  <si>
    <t>AAPL 4/20/18 P240</t>
  </si>
  <si>
    <t>AAPL 4/20/18 C240</t>
  </si>
  <si>
    <t>AAPL 4/20/18 P235</t>
  </si>
  <si>
    <t>AAPL 4/20/18 C235</t>
  </si>
  <si>
    <t>AAPL 4/20/18 P230</t>
  </si>
  <si>
    <t>AAPL 4/20/18 C230</t>
  </si>
  <si>
    <t>AAPL 4/20/18 P225</t>
  </si>
  <si>
    <t>AAPL 4/20/18 C225</t>
  </si>
  <si>
    <t>AAPL 4/20/18 P220</t>
  </si>
  <si>
    <t>AAPL 4/20/18 C220</t>
  </si>
  <si>
    <t>AAPL 4/20/18 P215</t>
  </si>
  <si>
    <t>AAPL 4/20/18 C215</t>
  </si>
  <si>
    <t>AAPL 4/20/18 P210</t>
  </si>
  <si>
    <t>AAPL 4/20/18 C210</t>
  </si>
  <si>
    <t>AAPL 4/20/18 P205</t>
  </si>
  <si>
    <t>AAPL 4/20/18 C205</t>
  </si>
  <si>
    <t>AAPL 4/20/18 P200</t>
  </si>
  <si>
    <t>AAPL 4/20/18 C200</t>
  </si>
  <si>
    <t>AAPL 4/20/18 P195</t>
  </si>
  <si>
    <t>AAPL 4/20/18 C195</t>
  </si>
  <si>
    <t>AAPL 4/20/18 P190</t>
  </si>
  <si>
    <t>AAPL 4/20/18 C190</t>
  </si>
  <si>
    <t>AAPL 4/20/18 P185</t>
  </si>
  <si>
    <t>AAPL 4/20/18 C185</t>
  </si>
  <si>
    <t>AAPL 4/20/18 P180</t>
  </si>
  <si>
    <t>AAPL 4/20/18 C180</t>
  </si>
  <si>
    <t>AAPL 4/20/18 P175</t>
  </si>
  <si>
    <t>AAPL 4/20/18 C175</t>
  </si>
  <si>
    <t>AAPL 4/20/18 P170</t>
  </si>
  <si>
    <t>AAPL 4/20/18 C170</t>
  </si>
  <si>
    <t>AAPL 4/20/18 P165</t>
  </si>
  <si>
    <t>AAPL 4/20/18 C165</t>
  </si>
  <si>
    <t>AAPL 4/20/18 P160</t>
  </si>
  <si>
    <t>AAPL 4/20/18 C160</t>
  </si>
  <si>
    <t>AAPL 4/20/18 P155</t>
  </si>
  <si>
    <t>AAPL 4/20/18 C155</t>
  </si>
  <si>
    <t>AAPL 4/20/18 P150</t>
  </si>
  <si>
    <t>AAPL 4/20/18 C150</t>
  </si>
  <si>
    <t>AAPL 4/20/18 P145</t>
  </si>
  <si>
    <t>AAPL 4/20/18 C145</t>
  </si>
  <si>
    <t>AAPL 4/20/18 P140</t>
  </si>
  <si>
    <t>AAPL 4/20/18 C140</t>
  </si>
  <si>
    <t>AAPL 4/20/18 P135</t>
  </si>
  <si>
    <t>AAPL 4/20/18 C135</t>
  </si>
  <si>
    <t>AAPL 4/20/18 P130</t>
  </si>
  <si>
    <t>AAPL 4/20/18 C130</t>
  </si>
  <si>
    <t>AAPL 4/20/18 P125</t>
  </si>
  <si>
    <t>AAPL 4/20/18 C125</t>
  </si>
  <si>
    <t>AAPL 4/20/18 P120</t>
  </si>
  <si>
    <t>AAPL 4/20/18 C120</t>
  </si>
  <si>
    <t>AAPL 4/20/18 P115</t>
  </si>
  <si>
    <t>AAPL 4/20/18 C115</t>
  </si>
  <si>
    <t>AAPL 4/20/18 P110</t>
  </si>
  <si>
    <t>AAPL 4/20/18 C110</t>
  </si>
  <si>
    <t>AAPL 4/20/18 P105</t>
  </si>
  <si>
    <t>AAPL 4/20/18 C105</t>
  </si>
  <si>
    <t>AAPL 4/20/18 P100</t>
  </si>
  <si>
    <t>AAPL 4/20/18 C100</t>
  </si>
  <si>
    <t>AAPL 4/20/18 P95</t>
  </si>
  <si>
    <t>AAPL 4/20/18 C95</t>
  </si>
  <si>
    <t>AAPL 4/20/18 P90</t>
  </si>
  <si>
    <t>AAPL 4/20/18 C90</t>
  </si>
  <si>
    <t>AAPL 4/20/18 P85</t>
  </si>
  <si>
    <t>AAPL 4/20/18 C85</t>
  </si>
  <si>
    <t>AAPL 4/20/18 P80</t>
  </si>
  <si>
    <t>AAPL 4/20/18 C80</t>
  </si>
  <si>
    <t>AAPL 4/20/18 P75</t>
  </si>
  <si>
    <t>AAPL 4/20/18 C75</t>
  </si>
  <si>
    <t>AAPL 4/20/18 P70</t>
  </si>
  <si>
    <t>AAPL 4/20/18 C70</t>
  </si>
  <si>
    <t>AAPL 4/20/18 P65</t>
  </si>
  <si>
    <t>AAPL 4/20/18 C65</t>
  </si>
  <si>
    <t>AAPL 4/20/18 P60</t>
  </si>
  <si>
    <t>AAPL 4/20/18 C60</t>
  </si>
  <si>
    <t>AAPL 4/20/18 P55</t>
  </si>
  <si>
    <t>AAPL 4/20/18 C55</t>
  </si>
  <si>
    <t>AAPL 4/20/18 P50</t>
  </si>
  <si>
    <t>AAPL 4/20/18 C50</t>
  </si>
  <si>
    <t>AAPL 4/20/18 P45</t>
  </si>
  <si>
    <t>AAPL 4/20/18 C45</t>
  </si>
  <si>
    <t>AAPL 4/20/18 P40</t>
  </si>
  <si>
    <t>AAPL 4/20/18 C40</t>
  </si>
  <si>
    <t>AAPL 4/20/18 P35</t>
  </si>
  <si>
    <t>AAPL 4/20/18 C35</t>
  </si>
  <si>
    <t>AAPL 4/20/18 P30</t>
  </si>
  <si>
    <t>AAPL 4/20/18 C30</t>
  </si>
  <si>
    <t>AAPL 4/20/18 P25</t>
  </si>
  <si>
    <t>AAPL 4/20/18 C25</t>
  </si>
  <si>
    <t>AAPL 4/20/18 P22.5</t>
  </si>
  <si>
    <t>AAPL 4/20/18 C22.5</t>
  </si>
  <si>
    <t>AAPL 4/20/18 P20</t>
  </si>
  <si>
    <t>AAPL 4/20/18 C20</t>
  </si>
  <si>
    <t>AAPL 4/20/18 P17.5</t>
  </si>
  <si>
    <t>AAPL 4/20/18 C17.5</t>
  </si>
  <si>
    <t>AAPL 4/20/18 P15</t>
  </si>
  <si>
    <t>AAPL 4/20/18 C15</t>
  </si>
  <si>
    <t>AAPL 4/20/18 P12.5</t>
  </si>
  <si>
    <t>AAPL 4/20/18 C12.5</t>
  </si>
  <si>
    <t>AAPL 4/20/18 P10</t>
  </si>
  <si>
    <t>AAPL 4/20/18 C10</t>
  </si>
  <si>
    <t>AAPL 4/20/18 P7.5</t>
  </si>
  <si>
    <t>AAPL 4/20/18 C7.5</t>
  </si>
  <si>
    <t>AAPL 4/20/18 P5</t>
  </si>
  <si>
    <t>AAPL 4/20/18 C5</t>
  </si>
  <si>
    <t>AAPL 4/20/18 P2.5</t>
  </si>
  <si>
    <t>AAPL 4/20/18 C2.5</t>
  </si>
  <si>
    <t>XTyp</t>
  </si>
  <si>
    <t>Volm</t>
  </si>
  <si>
    <t>IVM</t>
  </si>
  <si>
    <t>Last</t>
  </si>
  <si>
    <t>Ask</t>
  </si>
  <si>
    <t>Bid</t>
  </si>
  <si>
    <t>Ticker</t>
  </si>
  <si>
    <t>Calls</t>
  </si>
  <si>
    <t>AAPL 3/16/18 P360</t>
  </si>
  <si>
    <t>AAPL 3/16/18 C360</t>
  </si>
  <si>
    <t>AAPL 3/16/18 P355</t>
  </si>
  <si>
    <t>AAPL 3/16/18 C355</t>
  </si>
  <si>
    <t>AAPL 3/16/18 P350</t>
  </si>
  <si>
    <t>AAPL 3/16/18 C350</t>
  </si>
  <si>
    <t>AAPL 3/16/18 P345</t>
  </si>
  <si>
    <t>AAPL 3/16/18 C345</t>
  </si>
  <si>
    <t>AAPL 3/16/18 P340</t>
  </si>
  <si>
    <t>AAPL 3/16/18 C340</t>
  </si>
  <si>
    <t>AAPL 3/16/18 P335</t>
  </si>
  <si>
    <t>AAPL 3/16/18 C335</t>
  </si>
  <si>
    <t>AAPL 3/16/18 P330</t>
  </si>
  <si>
    <t>AAPL 3/16/18 C330</t>
  </si>
  <si>
    <t>AAPL 3/16/18 P325</t>
  </si>
  <si>
    <t>AAPL 3/16/18 C325</t>
  </si>
  <si>
    <t>AAPL 3/16/18 P320</t>
  </si>
  <si>
    <t>AAPL 3/16/18 C320</t>
  </si>
  <si>
    <t>AAPL 3/16/18 P315</t>
  </si>
  <si>
    <t>AAPL 3/16/18 C315</t>
  </si>
  <si>
    <t>AAPL 3/16/18 P310</t>
  </si>
  <si>
    <t>AAPL 3/16/18 C310</t>
  </si>
  <si>
    <t>AAPL 3/16/18 P305</t>
  </si>
  <si>
    <t>AAPL 3/16/18 C305</t>
  </si>
  <si>
    <t>AAPL 3/16/18 P300</t>
  </si>
  <si>
    <t>AAPL 3/16/18 C300</t>
  </si>
  <si>
    <t>AAPL 3/16/18 P295</t>
  </si>
  <si>
    <t>AAPL 3/16/18 C295</t>
  </si>
  <si>
    <t>AAPL 3/16/18 P290</t>
  </si>
  <si>
    <t>AAPL 3/16/18 C290</t>
  </si>
  <si>
    <t>AAPL 3/16/18 P285</t>
  </si>
  <si>
    <t>AAPL 3/16/18 C285</t>
  </si>
  <si>
    <t>AAPL 3/16/18 P280</t>
  </si>
  <si>
    <t>AAPL 3/16/18 C280</t>
  </si>
  <si>
    <t>AAPL 3/16/18 P275</t>
  </si>
  <si>
    <t>AAPL 3/16/18 C275</t>
  </si>
  <si>
    <t>AAPL 3/16/18 P270</t>
  </si>
  <si>
    <t>AAPL 3/16/18 C270</t>
  </si>
  <si>
    <t>AAPL 3/16/18 P265</t>
  </si>
  <si>
    <t>AAPL 3/16/18 C265</t>
  </si>
  <si>
    <t>AAPL 3/16/18 P260</t>
  </si>
  <si>
    <t>AAPL 3/16/18 C260</t>
  </si>
  <si>
    <t>AAPL 3/16/18 P255</t>
  </si>
  <si>
    <t>AAPL 3/16/18 C255</t>
  </si>
  <si>
    <t>AAPL 3/16/18 P250</t>
  </si>
  <si>
    <t>AAPL 3/16/18 C250</t>
  </si>
  <si>
    <t>AAPL 3/16/18 P245</t>
  </si>
  <si>
    <t>AAPL 3/16/18 C245</t>
  </si>
  <si>
    <t>AAPL 3/16/18 P240</t>
  </si>
  <si>
    <t>AAPL 3/16/18 C240</t>
  </si>
  <si>
    <t>AAPL 3/16/18 P235</t>
  </si>
  <si>
    <t>AAPL 3/16/18 C235</t>
  </si>
  <si>
    <t>AAPL 3/16/18 P230</t>
  </si>
  <si>
    <t>AAPL 3/16/18 C230</t>
  </si>
  <si>
    <t>AAPL 3/16/18 P225</t>
  </si>
  <si>
    <t>AAPL 3/16/18 C225</t>
  </si>
  <si>
    <t>AAPL 3/16/18 P220</t>
  </si>
  <si>
    <t>AAPL 3/16/18 C220</t>
  </si>
  <si>
    <t>AAPL 3/16/18 P215</t>
  </si>
  <si>
    <t>AAPL 3/16/18 C215</t>
  </si>
  <si>
    <t>AAPL 3/16/18 P210</t>
  </si>
  <si>
    <t>AAPL 3/16/18 C210</t>
  </si>
  <si>
    <t>AAPL 3/16/18 P205</t>
  </si>
  <si>
    <t>AAPL 3/16/18 C205</t>
  </si>
  <si>
    <t>AAPL 3/16/18 P202.5</t>
  </si>
  <si>
    <t>AAPL 3/16/18 C202.5</t>
  </si>
  <si>
    <t>AAPL 3/16/18 P200</t>
  </si>
  <si>
    <t>AAPL 3/16/18 C200</t>
  </si>
  <si>
    <t>AAPL 3/16/18 P197.5</t>
  </si>
  <si>
    <t>AAPL 3/16/18 C197.5</t>
  </si>
  <si>
    <t>AAPL 3/16/18 P195</t>
  </si>
  <si>
    <t>AAPL 3/16/18 C195</t>
  </si>
  <si>
    <t>AAPL 3/16/18 P192.5</t>
  </si>
  <si>
    <t>AAPL 3/16/18 C192.5</t>
  </si>
  <si>
    <t>AAPL 3/16/18 P190</t>
  </si>
  <si>
    <t>AAPL 3/16/18 C190</t>
  </si>
  <si>
    <t>AAPL 3/16/18 P187.5</t>
  </si>
  <si>
    <t>AAPL 3/16/18 C187.5</t>
  </si>
  <si>
    <t>AAPL 3/16/18 P185</t>
  </si>
  <si>
    <t>AAPL 3/16/18 C185</t>
  </si>
  <si>
    <t>AAPL 3/16/18 P182.5</t>
  </si>
  <si>
    <t>AAPL 3/16/18 C182.5</t>
  </si>
  <si>
    <t>AAPL 3/16/18 P180</t>
  </si>
  <si>
    <t>AAPL 3/16/18 C180</t>
  </si>
  <si>
    <t>AAPL 3/16/18 P177.5</t>
  </si>
  <si>
    <t>AAPL 3/16/18 C177.5</t>
  </si>
  <si>
    <t>AAPL 3/16/18 P175</t>
  </si>
  <si>
    <t>AAPL 3/16/18 C175</t>
  </si>
  <si>
    <t>AAPL 3/16/18 P172.5</t>
  </si>
  <si>
    <t>AAPL 3/16/18 C172.5</t>
  </si>
  <si>
    <t>AAPL 3/16/18 P170</t>
  </si>
  <si>
    <t>AAPL 3/16/18 C170</t>
  </si>
  <si>
    <t>AAPL 3/16/18 P167.5</t>
  </si>
  <si>
    <t>AAPL 3/16/18 C167.5</t>
  </si>
  <si>
    <t>AAPL 3/16/18 P165</t>
  </si>
  <si>
    <t>AAPL 3/16/18 C165</t>
  </si>
  <si>
    <t>AAPL 3/16/18 P162.5</t>
  </si>
  <si>
    <t>AAPL 3/16/18 C162.5</t>
  </si>
  <si>
    <t>AAPL 3/16/18 P160</t>
  </si>
  <si>
    <t>AAPL 3/16/18 C160</t>
  </si>
  <si>
    <t>AAPL 3/16/18 P157.5</t>
  </si>
  <si>
    <t>AAPL 3/16/18 C157.5</t>
  </si>
  <si>
    <t>AAPL 3/16/18 P155</t>
  </si>
  <si>
    <t>AAPL 3/16/18 C155</t>
  </si>
  <si>
    <t>AAPL 3/16/18 P152.5</t>
  </si>
  <si>
    <t>AAPL 3/16/18 C152.5</t>
  </si>
  <si>
    <t>AAPL 3/16/18 P150</t>
  </si>
  <si>
    <t>AAPL 3/16/18 C150</t>
  </si>
  <si>
    <t>AAPL 3/16/18 P149</t>
  </si>
  <si>
    <t>AAPL 3/16/18 C149</t>
  </si>
  <si>
    <t>AAPL 3/16/18 P148</t>
  </si>
  <si>
    <t>AAPL 3/16/18 C148</t>
  </si>
  <si>
    <t>AAPL 3/16/18 P147</t>
  </si>
  <si>
    <t>AAPL 3/16/18 C147</t>
  </si>
  <si>
    <t>AAPL 3/16/18 P146</t>
  </si>
  <si>
    <t>AAPL 3/16/18 C146</t>
  </si>
  <si>
    <t>AAPL 3/16/18 P145</t>
  </si>
  <si>
    <t>AAPL 3/16/18 C145</t>
  </si>
  <si>
    <t>AAPL 3/16/18 P140</t>
  </si>
  <si>
    <t>AAPL 3/16/18 C140</t>
  </si>
  <si>
    <t>AAPL 3/16/18 P135</t>
  </si>
  <si>
    <t>AAPL 3/16/18 C135</t>
  </si>
  <si>
    <t>AAPL 3/16/18 P130</t>
  </si>
  <si>
    <t>AAPL 3/16/18 C130</t>
  </si>
  <si>
    <t>AAPL 3/16/18 P125</t>
  </si>
  <si>
    <t>AAPL 3/16/18 C125</t>
  </si>
  <si>
    <t>AAPL 3/16/18 P120</t>
  </si>
  <si>
    <t>AAPL 3/16/18 C120</t>
  </si>
  <si>
    <t>AAPL 3/16/18 P115</t>
  </si>
  <si>
    <t>AAPL 3/16/18 C115</t>
  </si>
  <si>
    <t>AAPL 3/16/18 P110</t>
  </si>
  <si>
    <t>AAPL 3/16/18 C110</t>
  </si>
  <si>
    <t>AAPL 3/16/18 P105</t>
  </si>
  <si>
    <t>AAPL 3/16/18 C105</t>
  </si>
  <si>
    <t>AAPL 3/16/18 P100</t>
  </si>
  <si>
    <t>AAPL 3/16/18 C100</t>
  </si>
  <si>
    <t>AAPL 3/16/18 P95</t>
  </si>
  <si>
    <t>AAPL 3/16/18 C95</t>
  </si>
  <si>
    <t>AAPL 3/16/18 P90</t>
  </si>
  <si>
    <t>AAPL 3/16/18 C90</t>
  </si>
  <si>
    <t>AAPL 3/16/18 P85</t>
  </si>
  <si>
    <t>AAPL 3/16/18 C85</t>
  </si>
  <si>
    <t>AAPL 3/16/18 P80</t>
  </si>
  <si>
    <t>AAPL 3/16/18 C80</t>
  </si>
  <si>
    <t>AAPL 3/16/18 P75</t>
  </si>
  <si>
    <t>AAPL 3/16/18 C75</t>
  </si>
  <si>
    <t>AAPL 3/16/18 P70</t>
  </si>
  <si>
    <t>AAPL 3/16/18 C70</t>
  </si>
  <si>
    <t>AAPL 3/16/18 P65</t>
  </si>
  <si>
    <t>AAPL 3/16/18 C65</t>
  </si>
  <si>
    <t>AAPL 3/16/18 P60</t>
  </si>
  <si>
    <t>AAPL 3/16/18 C60</t>
  </si>
  <si>
    <t>AAPL 3/16/18 P55</t>
  </si>
  <si>
    <t>AAPL 3/16/18 C55</t>
  </si>
  <si>
    <t>AAPL 3/16/18 P50</t>
  </si>
  <si>
    <t>AAPL 3/16/18 C50</t>
  </si>
  <si>
    <t>AAPL 3/16/18 P45</t>
  </si>
  <si>
    <t>AAPL 3/16/18 C45</t>
  </si>
  <si>
    <t>AAPL 3/16/18 P40</t>
  </si>
  <si>
    <t>AAPL 3/16/18 C40</t>
  </si>
  <si>
    <t>AAPL 3/16/18 P35</t>
  </si>
  <si>
    <t>AAPL 3/16/18 C35</t>
  </si>
  <si>
    <t>AAPL 3/16/18 P30</t>
  </si>
  <si>
    <t>AAPL 3/16/18 C30</t>
  </si>
  <si>
    <t>AAPL 3/16/18 P25</t>
  </si>
  <si>
    <t>AAPL 3/16/18 C25</t>
  </si>
  <si>
    <t>AAPL 3/16/18 P22.5</t>
  </si>
  <si>
    <t>AAPL 3/16/18 C22.5</t>
  </si>
  <si>
    <t>AAPL 3/16/18 P20</t>
  </si>
  <si>
    <t>AAPL 3/16/18 C20</t>
  </si>
  <si>
    <t>AAPL 3/16/18 P17.5</t>
  </si>
  <si>
    <t>AAPL 3/16/18 C17.5</t>
  </si>
  <si>
    <t>AAPL 3/16/18 P15</t>
  </si>
  <si>
    <t>AAPL 3/16/18 C15</t>
  </si>
  <si>
    <t>AAPL 3/16/18 P12.5</t>
  </si>
  <si>
    <t>AAPL 3/16/18 C12.5</t>
  </si>
  <si>
    <t>AAPL 3/16/18 P10</t>
  </si>
  <si>
    <t>AAPL 3/16/18 C10</t>
  </si>
  <si>
    <t>AAPL 3/16/18 P7.5</t>
  </si>
  <si>
    <t>AAPL 3/16/18 C7.5</t>
  </si>
  <si>
    <t>AAPL 3/16/18 P5</t>
  </si>
  <si>
    <t>AAPL 3/16/18 C5</t>
  </si>
  <si>
    <t>AAPL 3/16/18 P2.5</t>
  </si>
  <si>
    <t>AAPL 3/16/18 C2.5</t>
  </si>
  <si>
    <t>AAPL 6/15/18 P260</t>
  </si>
  <si>
    <t>AAPL 6/15/18 C260</t>
  </si>
  <si>
    <t>AAPL 6/15/18 P250</t>
  </si>
  <si>
    <t>AAPL 6/15/18 C250</t>
  </si>
  <si>
    <t>AAPL 6/15/18 P245</t>
  </si>
  <si>
    <t>AAPL 6/15/18 C245</t>
  </si>
  <si>
    <t>AAPL 6/15/18 P240</t>
  </si>
  <si>
    <t>AAPL 6/15/18 C240</t>
  </si>
  <si>
    <t>AAPL 6/15/18 P235</t>
  </si>
  <si>
    <t>AAPL 6/15/18 C235</t>
  </si>
  <si>
    <t>AAPL 6/15/18 P230</t>
  </si>
  <si>
    <t>AAPL 6/15/18 C230</t>
  </si>
  <si>
    <t>AAPL 6/15/18 P225</t>
  </si>
  <si>
    <t>AAPL 6/15/18 C225</t>
  </si>
  <si>
    <t>AAPL 6/15/18 P220</t>
  </si>
  <si>
    <t>AAPL 6/15/18 C220</t>
  </si>
  <si>
    <t>AAPL 6/15/18 P215</t>
  </si>
  <si>
    <t>AAPL 6/15/18 C215</t>
  </si>
  <si>
    <t>AAPL 6/15/18 P210</t>
  </si>
  <si>
    <t>AAPL 6/15/18 C210</t>
  </si>
  <si>
    <t>AAPL 6/15/18 P205</t>
  </si>
  <si>
    <t>AAPL 6/15/18 C205</t>
  </si>
  <si>
    <t>AAPL 6/15/18 P200</t>
  </si>
  <si>
    <t>AAPL 6/15/18 C200</t>
  </si>
  <si>
    <t>AAPL 6/15/18 P195</t>
  </si>
  <si>
    <t>AAPL 6/15/18 C195</t>
  </si>
  <si>
    <t>AAPL 6/15/18 P190</t>
  </si>
  <si>
    <t>AAPL 6/15/18 C190</t>
  </si>
  <si>
    <t>AAPL 6/15/18 P185</t>
  </si>
  <si>
    <t>AAPL 6/15/18 C185</t>
  </si>
  <si>
    <t>AAPL 6/15/18 P180</t>
  </si>
  <si>
    <t>AAPL 6/15/18 C180</t>
  </si>
  <si>
    <t>AAPL 6/15/18 P175</t>
  </si>
  <si>
    <t>AAPL 6/15/18 C175</t>
  </si>
  <si>
    <t>AAPL 6/15/18 P170</t>
  </si>
  <si>
    <t>AAPL 6/15/18 C170</t>
  </si>
  <si>
    <t>AAPL 6/15/18 P165</t>
  </si>
  <si>
    <t>AAPL 6/15/18 C165</t>
  </si>
  <si>
    <t>AAPL 6/15/18 P160</t>
  </si>
  <si>
    <t>AAPL 6/15/18 C160</t>
  </si>
  <si>
    <t>AAPL 6/15/18 P155</t>
  </si>
  <si>
    <t>AAPL 6/15/18 C155</t>
  </si>
  <si>
    <t>AAPL 6/15/18 P150</t>
  </si>
  <si>
    <t>AAPL 6/15/18 C150</t>
  </si>
  <si>
    <t>AAPL 6/15/18 P145</t>
  </si>
  <si>
    <t>AAPL 6/15/18 C145</t>
  </si>
  <si>
    <t>AAPL 6/15/18 P140</t>
  </si>
  <si>
    <t>AAPL 6/15/18 C140</t>
  </si>
  <si>
    <t>AAPL 6/15/18 P135</t>
  </si>
  <si>
    <t>AAPL 6/15/18 C135</t>
  </si>
  <si>
    <t>AAPL 6/15/18 P130</t>
  </si>
  <si>
    <t>AAPL 6/15/18 C130</t>
  </si>
  <si>
    <t>AAPL 6/15/18 P125</t>
  </si>
  <si>
    <t>AAPL 6/15/18 C125</t>
  </si>
  <si>
    <t>AAPL 6/15/18 P120</t>
  </si>
  <si>
    <t>AAPL 6/15/18 C120</t>
  </si>
  <si>
    <t>AAPL 6/15/18 P115</t>
  </si>
  <si>
    <t>AAPL 6/15/18 C115</t>
  </si>
  <si>
    <t>AAPL 6/15/18 P110</t>
  </si>
  <si>
    <t>AAPL 6/15/18 C110</t>
  </si>
  <si>
    <t>AAPL 6/15/18 P105</t>
  </si>
  <si>
    <t>AAPL 6/15/18 C105</t>
  </si>
  <si>
    <t>AAPL 6/15/18 P100</t>
  </si>
  <si>
    <t>AAPL 6/15/18 C100</t>
  </si>
  <si>
    <t>AAPL 6/15/18 P95</t>
  </si>
  <si>
    <t>AAPL 6/15/18 C95</t>
  </si>
  <si>
    <t>AAPL 6/15/18 P90</t>
  </si>
  <si>
    <t>AAPL 6/15/18 C90</t>
  </si>
  <si>
    <t>AAPL 6/15/18 P85</t>
  </si>
  <si>
    <t>AAPL 6/15/18 C85</t>
  </si>
  <si>
    <t>AAPL 6/15/18 P80</t>
  </si>
  <si>
    <t>AAPL 6/15/18 C80</t>
  </si>
  <si>
    <t>AAPL 6/15/18 P75</t>
  </si>
  <si>
    <t>AAPL 6/15/18 C75</t>
  </si>
  <si>
    <t>AAPL 6/15/18 P70</t>
  </si>
  <si>
    <t>AAPL 6/15/18 C70</t>
  </si>
  <si>
    <t>AAPL 5/18/18 P215</t>
  </si>
  <si>
    <t>AAPL 5/18/18 C215</t>
  </si>
  <si>
    <t>AAPL 5/18/18 P210</t>
  </si>
  <si>
    <t>AAPL 5/18/18 C210</t>
  </si>
  <si>
    <t>AAPL 5/18/18 P205</t>
  </si>
  <si>
    <t>AAPL 5/18/18 C205</t>
  </si>
  <si>
    <t>AAPL 5/18/18 P200</t>
  </si>
  <si>
    <t>AAPL 5/18/18 C200</t>
  </si>
  <si>
    <t>AAPL 5/18/18 P195</t>
  </si>
  <si>
    <t>AAPL 5/18/18 C195</t>
  </si>
  <si>
    <t>AAPL 5/18/18 P190</t>
  </si>
  <si>
    <t>AAPL 5/18/18 C190</t>
  </si>
  <si>
    <t>AAPL 5/18/18 P185</t>
  </si>
  <si>
    <t>AAPL 5/18/18 C185</t>
  </si>
  <si>
    <t>AAPL 5/18/18 P180</t>
  </si>
  <si>
    <t>AAPL 5/18/18 C180</t>
  </si>
  <si>
    <t>AAPL 5/18/18 P175</t>
  </si>
  <si>
    <t>AAPL 5/18/18 C175</t>
  </si>
  <si>
    <t>AAPL 5/18/18 P170</t>
  </si>
  <si>
    <t>AAPL 5/18/18 C170</t>
  </si>
  <si>
    <t>AAPL 5/18/18 P165</t>
  </si>
  <si>
    <t>AAPL 5/18/18 C165</t>
  </si>
  <si>
    <t>AAPL 5/18/18 P160</t>
  </si>
  <si>
    <t>AAPL 5/18/18 C160</t>
  </si>
  <si>
    <t>AAPL 5/18/18 P155</t>
  </si>
  <si>
    <t>AAPL 5/18/18 C155</t>
  </si>
  <si>
    <t>AAPL 5/18/18 P150</t>
  </si>
  <si>
    <t>AAPL 5/18/18 C150</t>
  </si>
  <si>
    <t>AAPL 5/18/18 P145</t>
  </si>
  <si>
    <t>AAPL 5/18/18 C145</t>
  </si>
  <si>
    <t>AAPL 5/18/18 P140</t>
  </si>
  <si>
    <t>AAPL 5/18/18 C140</t>
  </si>
  <si>
    <t>AAPL 5/18/18 P135</t>
  </si>
  <si>
    <t>AAPL 5/18/18 C135</t>
  </si>
  <si>
    <t>AAPL 5/18/18 P130</t>
  </si>
  <si>
    <t>AAPL 5/18/18 C130</t>
  </si>
  <si>
    <t>AAPL 5/18/18 P125</t>
  </si>
  <si>
    <t>AAPL 5/18/18 C125</t>
  </si>
  <si>
    <t>AAPL 5/18/18 P120</t>
  </si>
  <si>
    <t>AAPL 5/18/18 C120</t>
  </si>
  <si>
    <t>AAPL 5/18/18 P115</t>
  </si>
  <si>
    <t>AAPL 5/18/18 C115</t>
  </si>
  <si>
    <t>AAPL 5/18/18 P110</t>
  </si>
  <si>
    <t>AAPL 5/18/18 C110</t>
  </si>
  <si>
    <t>lambda</t>
  </si>
  <si>
    <t>AAPL 7/20/18 C2.5</t>
  </si>
  <si>
    <t>AAPL 7/20/18 P2.5</t>
  </si>
  <si>
    <t>AAPL 7/20/18 C5</t>
  </si>
  <si>
    <t>AAPL 7/20/18 P5</t>
  </si>
  <si>
    <t>AAPL 7/20/18 C7.5</t>
  </si>
  <si>
    <t>AAPL 7/20/18 P7.5</t>
  </si>
  <si>
    <t>AAPL 7/20/18 C10</t>
  </si>
  <si>
    <t>AAPL 7/20/18 P10</t>
  </si>
  <si>
    <t>AAPL 7/20/18 C12.5</t>
  </si>
  <si>
    <t>AAPL 7/20/18 P12.5</t>
  </si>
  <si>
    <t>AAPL 7/20/18 C15</t>
  </si>
  <si>
    <t>AAPL 7/20/18 P15</t>
  </si>
  <si>
    <t>AAPL 7/20/18 C17.5</t>
  </si>
  <si>
    <t>AAPL 7/20/18 P17.5</t>
  </si>
  <si>
    <t>AAPL 7/20/18 C20</t>
  </si>
  <si>
    <t>AAPL 7/20/18 P20</t>
  </si>
  <si>
    <t>AAPL 7/20/18 C22.5</t>
  </si>
  <si>
    <t>AAPL 7/20/18 P22.5</t>
  </si>
  <si>
    <t>AAPL 7/20/18 C25</t>
  </si>
  <si>
    <t>AAPL 7/20/18 P25</t>
  </si>
  <si>
    <t>AAPL 7/20/18 C30</t>
  </si>
  <si>
    <t>AAPL 7/20/18 P30</t>
  </si>
  <si>
    <t>AAPL 7/20/18 C35</t>
  </si>
  <si>
    <t>AAPL 7/20/18 P35</t>
  </si>
  <si>
    <t>AAPL 7/20/18 C40</t>
  </si>
  <si>
    <t>AAPL 7/20/18 P40</t>
  </si>
  <si>
    <t>AAPL 7/20/18 C45</t>
  </si>
  <si>
    <t>AAPL 7/20/18 P45</t>
  </si>
  <si>
    <t>AAPL 7/20/18 C50</t>
  </si>
  <si>
    <t>AAPL 7/20/18 P50</t>
  </si>
  <si>
    <t>AAPL 7/20/18 C55</t>
  </si>
  <si>
    <t>AAPL 7/20/18 P55</t>
  </si>
  <si>
    <t>AAPL 7/20/18 C60</t>
  </si>
  <si>
    <t>AAPL 7/20/18 P60</t>
  </si>
  <si>
    <t>AAPL 7/20/18 C65</t>
  </si>
  <si>
    <t>AAPL 7/20/18 P65</t>
  </si>
  <si>
    <t>AAPL 7/20/18 C70</t>
  </si>
  <si>
    <t>AAPL 7/20/18 P70</t>
  </si>
  <si>
    <t>AAPL 7/20/18 C75</t>
  </si>
  <si>
    <t>AAPL 7/20/18 P75</t>
  </si>
  <si>
    <t>AAPL 7/20/18 C80</t>
  </si>
  <si>
    <t>AAPL 7/20/18 P80</t>
  </si>
  <si>
    <t>AAPL 7/20/18 C85</t>
  </si>
  <si>
    <t>AAPL 7/20/18 P85</t>
  </si>
  <si>
    <t>AAPL 7/20/18 C90</t>
  </si>
  <si>
    <t>AAPL 7/20/18 P90</t>
  </si>
  <si>
    <t>AAPL 7/20/18 C95</t>
  </si>
  <si>
    <t>AAPL 7/20/18 P95</t>
  </si>
  <si>
    <t>AAPL 7/20/18 C100</t>
  </si>
  <si>
    <t>AAPL 7/20/18 P100</t>
  </si>
  <si>
    <t>AAPL 7/20/18 C105</t>
  </si>
  <si>
    <t>AAPL 7/20/18 P105</t>
  </si>
  <si>
    <t>AAPL 7/20/18 C110</t>
  </si>
  <si>
    <t>AAPL 7/20/18 P110</t>
  </si>
  <si>
    <t>AAPL 7/20/18 C115</t>
  </si>
  <si>
    <t>AAPL 7/20/18 P115</t>
  </si>
  <si>
    <t>AAPL 7/20/18 C120</t>
  </si>
  <si>
    <t>AAPL 7/20/18 P120</t>
  </si>
  <si>
    <t>AAPL 7/20/18 C125</t>
  </si>
  <si>
    <t>AAPL 7/20/18 P125</t>
  </si>
  <si>
    <t>AAPL 7/20/18 C130</t>
  </si>
  <si>
    <t>AAPL 7/20/18 P130</t>
  </si>
  <si>
    <t>AAPL 7/20/18 C135</t>
  </si>
  <si>
    <t>AAPL 7/20/18 P135</t>
  </si>
  <si>
    <t>AAPL 7/20/18 C140</t>
  </si>
  <si>
    <t>AAPL 7/20/18 P140</t>
  </si>
  <si>
    <t>AAPL 7/20/18 C145</t>
  </si>
  <si>
    <t>AAPL 7/20/18 P145</t>
  </si>
  <si>
    <t>AAPL 7/20/18 C150</t>
  </si>
  <si>
    <t>AAPL 7/20/18 P150</t>
  </si>
  <si>
    <t>AAPL 7/20/18 C155</t>
  </si>
  <si>
    <t>AAPL 7/20/18 P155</t>
  </si>
  <si>
    <t>AAPL 7/20/18 C160</t>
  </si>
  <si>
    <t>AAPL 7/20/18 P160</t>
  </si>
  <si>
    <t>AAPL 7/20/18 C165</t>
  </si>
  <si>
    <t>AAPL 7/20/18 P165</t>
  </si>
  <si>
    <t>AAPL 7/20/18 C170</t>
  </si>
  <si>
    <t>AAPL 7/20/18 P170</t>
  </si>
  <si>
    <t>AAPL 7/20/18 C175</t>
  </si>
  <si>
    <t>AAPL 7/20/18 P175</t>
  </si>
  <si>
    <t>AAPL 7/20/18 C180</t>
  </si>
  <si>
    <t>AAPL 7/20/18 P180</t>
  </si>
  <si>
    <t>AAPL 7/20/18 C185</t>
  </si>
  <si>
    <t>AAPL 7/20/18 P185</t>
  </si>
  <si>
    <t>AAPL 7/20/18 C190</t>
  </si>
  <si>
    <t>AAPL 7/20/18 P190</t>
  </si>
  <si>
    <t>AAPL 7/20/18 C195</t>
  </si>
  <si>
    <t>AAPL 7/20/18 P195</t>
  </si>
  <si>
    <t>AAPL 7/20/18 C200</t>
  </si>
  <si>
    <t>AAPL 7/20/18 P200</t>
  </si>
  <si>
    <t>AAPL 7/20/18 C205</t>
  </si>
  <si>
    <t>AAPL 7/20/18 P205</t>
  </si>
  <si>
    <t>AAPL 7/20/18 C210</t>
  </si>
  <si>
    <t>AAPL 7/20/18 P210</t>
  </si>
  <si>
    <t>AAPL 7/20/18 C215</t>
  </si>
  <si>
    <t>AAPL 7/20/18 P215</t>
  </si>
  <si>
    <t>AAPL 7/20/18 C220</t>
  </si>
  <si>
    <t>AAPL 7/20/18 P220</t>
  </si>
  <si>
    <t>AAPL 7/20/18 C225</t>
  </si>
  <si>
    <t>AAPL 7/20/18 P225</t>
  </si>
  <si>
    <t>AAPL 7/20/18 C230</t>
  </si>
  <si>
    <t>AAPL 7/20/18 P230</t>
  </si>
  <si>
    <t>AAPL 7/20/18 C235</t>
  </si>
  <si>
    <t>AAPL 7/20/18 P235</t>
  </si>
  <si>
    <t>AAPL 7/20/18 C240</t>
  </si>
  <si>
    <t>AAPL 7/20/18 P240</t>
  </si>
  <si>
    <t>AAPL 7/20/18 C245</t>
  </si>
  <si>
    <t>AAPL 7/20/18 P245</t>
  </si>
  <si>
    <t>AAPL 7/20/18 C250</t>
  </si>
  <si>
    <t>AAPL 7/20/18 P250</t>
  </si>
  <si>
    <t>AAPL 7/20/18 C255</t>
  </si>
  <si>
    <t>AAPL 7/20/18 P255</t>
  </si>
  <si>
    <t>AAPL 7/20/18 C260</t>
  </si>
  <si>
    <t>AAPL 7/20/18 P260</t>
  </si>
  <si>
    <t>AAPL 7/20/18 C265</t>
  </si>
  <si>
    <t>AAPL 7/20/18 P265</t>
  </si>
  <si>
    <t>AAPL 7/20/18 C270</t>
  </si>
  <si>
    <t>AAPL 7/20/18 P270</t>
  </si>
  <si>
    <t>AAPL 7/20/18 C275</t>
  </si>
  <si>
    <t>AAPL 7/20/18 P275</t>
  </si>
  <si>
    <t>AAPL 7/20/18 C280</t>
  </si>
  <si>
    <t>AAPL 7/20/18 P280</t>
  </si>
  <si>
    <t>AAPL 7/20/18 C285</t>
  </si>
  <si>
    <t>AAPL 7/20/18 P285</t>
  </si>
  <si>
    <t>AAPL 7/20/18 C290</t>
  </si>
  <si>
    <t>AAPL 7/20/18 P290</t>
  </si>
  <si>
    <t>AAPL 7/20/18 C295</t>
  </si>
  <si>
    <t>AAPL 7/20/18 P295</t>
  </si>
  <si>
    <t>AAPL 7/20/18 C300</t>
  </si>
  <si>
    <t>AAPL 7/20/18 P300</t>
  </si>
  <si>
    <t>AAPL 7/20/18 C305</t>
  </si>
  <si>
    <t>AAPL 7/20/18 P305</t>
  </si>
  <si>
    <t>AAPL 7/20/18 C310</t>
  </si>
  <si>
    <t>AAPL 7/20/18 P310</t>
  </si>
  <si>
    <t>AAPL 7/20/18 C315</t>
  </si>
  <si>
    <t>AAPL 7/20/18 P315</t>
  </si>
  <si>
    <t>AAPL 7/20/18 C320</t>
  </si>
  <si>
    <t>AAPL 7/20/18 P320</t>
  </si>
  <si>
    <t>AAPL 7/20/18 C325</t>
  </si>
  <si>
    <t>AAPL 7/20/18 P325</t>
  </si>
  <si>
    <t>AAPL 7/20/18 C330</t>
  </si>
  <si>
    <t>AAPL 7/20/18 P330</t>
  </si>
  <si>
    <t>AAPL 7/20/18 C335</t>
  </si>
  <si>
    <t>AAPL 7/20/18 P335</t>
  </si>
  <si>
    <t>AAPL 7/20/18 C340</t>
  </si>
  <si>
    <t>AAPL 7/20/18 P340</t>
  </si>
  <si>
    <t>AAPL 8/17/18 C100</t>
  </si>
  <si>
    <t>AAPL 8/17/18 P100</t>
  </si>
  <si>
    <t>AAPL 8/17/18 C105</t>
  </si>
  <si>
    <t>AAPL 8/17/18 P105</t>
  </si>
  <si>
    <t>AAPL 8/17/18 C110</t>
  </si>
  <si>
    <t>AAPL 8/17/18 P110</t>
  </si>
  <si>
    <t>AAPL 8/17/18 C115</t>
  </si>
  <si>
    <t>AAPL 8/17/18 P115</t>
  </si>
  <si>
    <t>AAPL 8/17/18 C120</t>
  </si>
  <si>
    <t>AAPL 8/17/18 P120</t>
  </si>
  <si>
    <t>AAPL 8/17/18 C125</t>
  </si>
  <si>
    <t>AAPL 8/17/18 P125</t>
  </si>
  <si>
    <t>AAPL 8/17/18 C130</t>
  </si>
  <si>
    <t>AAPL 8/17/18 P130</t>
  </si>
  <si>
    <t>AAPL 8/17/18 C135</t>
  </si>
  <si>
    <t>AAPL 8/17/18 P135</t>
  </si>
  <si>
    <t>AAPL 8/17/18 C140</t>
  </si>
  <si>
    <t>AAPL 8/17/18 P140</t>
  </si>
  <si>
    <t>AAPL 8/17/18 C145</t>
  </si>
  <si>
    <t>AAPL 8/17/18 P145</t>
  </si>
  <si>
    <t>AAPL 8/17/18 C150</t>
  </si>
  <si>
    <t>AAPL 8/17/18 P150</t>
  </si>
  <si>
    <t>AAPL 8/17/18 C155</t>
  </si>
  <si>
    <t>AAPL 8/17/18 P155</t>
  </si>
  <si>
    <t>AAPL 8/17/18 C160</t>
  </si>
  <si>
    <t>AAPL 8/17/18 P160</t>
  </si>
  <si>
    <t>AAPL 8/17/18 C165</t>
  </si>
  <si>
    <t>AAPL 8/17/18 P165</t>
  </si>
  <si>
    <t>AAPL 8/17/18 C170</t>
  </si>
  <si>
    <t>AAPL 8/17/18 P170</t>
  </si>
  <si>
    <t>AAPL 8/17/18 C175</t>
  </si>
  <si>
    <t>AAPL 8/17/18 P175</t>
  </si>
  <si>
    <t>AAPL 8/17/18 C180</t>
  </si>
  <si>
    <t>AAPL 8/17/18 P180</t>
  </si>
  <si>
    <t>AAPL 8/17/18 C185</t>
  </si>
  <si>
    <t>AAPL 8/17/18 P185</t>
  </si>
  <si>
    <t>AAPL 8/17/18 C190</t>
  </si>
  <si>
    <t>AAPL 8/17/18 P190</t>
  </si>
  <si>
    <t>AAPL 8/17/18 C195</t>
  </si>
  <si>
    <t>AAPL 8/17/18 P195</t>
  </si>
  <si>
    <t>AAPL 8/17/18 C200</t>
  </si>
  <si>
    <t>AAPL 8/17/18 P200</t>
  </si>
  <si>
    <t>AAPL 8/17/18 C210</t>
  </si>
  <si>
    <t>AAPL 8/17/18 P210</t>
  </si>
  <si>
    <t>AAPL 8/17/18 C220</t>
  </si>
  <si>
    <t>AAPL 8/17/18 P220</t>
  </si>
  <si>
    <t>AAPL 8/17/18 C230</t>
  </si>
  <si>
    <t>AAPL 8/17/18 P230</t>
  </si>
  <si>
    <t>AAPL 8/17/18 C240</t>
  </si>
  <si>
    <t>AAPL 8/17/18 P240</t>
  </si>
  <si>
    <t>AAPL 9/21/18 C75</t>
  </si>
  <si>
    <t>AAPL 9/21/18 P75</t>
  </si>
  <si>
    <t>AAPL 9/21/18 C80</t>
  </si>
  <si>
    <t>AAPL 9/21/18 P80</t>
  </si>
  <si>
    <t>AAPL 9/21/18 C85</t>
  </si>
  <si>
    <t>AAPL 9/21/18 P85</t>
  </si>
  <si>
    <t>AAPL 9/21/18 C90</t>
  </si>
  <si>
    <t>AAPL 9/21/18 P90</t>
  </si>
  <si>
    <t>AAPL 9/21/18 C95</t>
  </si>
  <si>
    <t>AAPL 9/21/18 P95</t>
  </si>
  <si>
    <t>AAPL 9/21/18 C100</t>
  </si>
  <si>
    <t>AAPL 9/21/18 P100</t>
  </si>
  <si>
    <t>AAPL 9/21/18 C105</t>
  </si>
  <si>
    <t>AAPL 9/21/18 P105</t>
  </si>
  <si>
    <t>AAPL 9/21/18 C110</t>
  </si>
  <si>
    <t>AAPL 9/21/18 P110</t>
  </si>
  <si>
    <t>AAPL 9/21/18 C115</t>
  </si>
  <si>
    <t>AAPL 9/21/18 P115</t>
  </si>
  <si>
    <t>AAPL 9/21/18 C120</t>
  </si>
  <si>
    <t>AAPL 9/21/18 P120</t>
  </si>
  <si>
    <t>AAPL 9/21/18 C125</t>
  </si>
  <si>
    <t>AAPL 9/21/18 P125</t>
  </si>
  <si>
    <t>AAPL 9/21/18 C130</t>
  </si>
  <si>
    <t>AAPL 9/21/18 P130</t>
  </si>
  <si>
    <t>AAPL 9/21/18 C135</t>
  </si>
  <si>
    <t>AAPL 9/21/18 P135</t>
  </si>
  <si>
    <t>AAPL 9/21/18 C140</t>
  </si>
  <si>
    <t>AAPL 9/21/18 P140</t>
  </si>
  <si>
    <t>AAPL 9/21/18 C145</t>
  </si>
  <si>
    <t>AAPL 9/21/18 P145</t>
  </si>
  <si>
    <t>AAPL 9/21/18 C150</t>
  </si>
  <si>
    <t>AAPL 9/21/18 P150</t>
  </si>
  <si>
    <t>AAPL 9/21/18 C155</t>
  </si>
  <si>
    <t>AAPL 9/21/18 P155</t>
  </si>
  <si>
    <t>AAPL 9/21/18 C160</t>
  </si>
  <si>
    <t>AAPL 9/21/18 P160</t>
  </si>
  <si>
    <t>AAPL 9/21/18 C165</t>
  </si>
  <si>
    <t>AAPL 9/21/18 P165</t>
  </si>
  <si>
    <t>AAPL 9/21/18 C170</t>
  </si>
  <si>
    <t>AAPL 9/21/18 P170</t>
  </si>
  <si>
    <t>AAPL 9/21/18 C175</t>
  </si>
  <si>
    <t>AAPL 9/21/18 P175</t>
  </si>
  <si>
    <t>AAPL 9/21/18 C180</t>
  </si>
  <si>
    <t>AAPL 9/21/18 P180</t>
  </si>
  <si>
    <t>AAPL 9/21/18 C185</t>
  </si>
  <si>
    <t>AAPL 9/21/18 P185</t>
  </si>
  <si>
    <t>AAPL 9/21/18 C190</t>
  </si>
  <si>
    <t>AAPL 9/21/18 P190</t>
  </si>
  <si>
    <t>AAPL 9/21/18 C195</t>
  </si>
  <si>
    <t>AAPL 9/21/18 P195</t>
  </si>
  <si>
    <t>AAPL 9/21/18 C200</t>
  </si>
  <si>
    <t>AAPL 9/21/18 P200</t>
  </si>
  <si>
    <t>AAPL 9/21/18 C205</t>
  </si>
  <si>
    <t>AAPL 9/21/18 P205</t>
  </si>
  <si>
    <t>AAPL 9/21/18 C210</t>
  </si>
  <si>
    <t>AAPL 9/21/18 P210</t>
  </si>
  <si>
    <t>AAPL 9/21/18 C215</t>
  </si>
  <si>
    <t>AAPL 9/21/18 P215</t>
  </si>
  <si>
    <t>AAPL 9/21/18 C220</t>
  </si>
  <si>
    <t>AAPL 9/21/18 P220</t>
  </si>
  <si>
    <t>AAPL 9/21/18 C225</t>
  </si>
  <si>
    <t>AAPL 9/21/18 P225</t>
  </si>
  <si>
    <t>AAPL 9/21/18 C230</t>
  </si>
  <si>
    <t>AAPL 9/21/18 P230</t>
  </si>
  <si>
    <t>AAPL 9/21/18 C235</t>
  </si>
  <si>
    <t>AAPL 9/21/18 P235</t>
  </si>
  <si>
    <t>AAPL 9/21/18 C240</t>
  </si>
  <si>
    <t>AAPL 9/21/18 P240</t>
  </si>
  <si>
    <t>AAPL 9/21/18 C245</t>
  </si>
  <si>
    <t>AAPL 9/21/18 P245</t>
  </si>
  <si>
    <t>AAPL 9/21/18 C250</t>
  </si>
  <si>
    <t>AAPL 9/21/18 P250</t>
  </si>
  <si>
    <t>AAPL 9/21/18 C260</t>
  </si>
  <si>
    <t>AAPL 9/21/18 P260</t>
  </si>
  <si>
    <t>AAPL 10/19/18 C2.5</t>
  </si>
  <si>
    <t>AAPL 10/19/18 P2.5</t>
  </si>
  <si>
    <t>AAPL 10/19/18 C5</t>
  </si>
  <si>
    <t>AAPL 10/19/18 P5</t>
  </si>
  <si>
    <t>AAPL 10/19/18 C7.5</t>
  </si>
  <si>
    <t>AAPL 10/19/18 P7.5</t>
  </si>
  <si>
    <t>AAPL 10/19/18 C10</t>
  </si>
  <si>
    <t>AAPL 10/19/18 P10</t>
  </si>
  <si>
    <t>AAPL 10/19/18 C12.5</t>
  </si>
  <si>
    <t>AAPL 10/19/18 P12.5</t>
  </si>
  <si>
    <t>AAPL 10/19/18 C15</t>
  </si>
  <si>
    <t>AAPL 10/19/18 P15</t>
  </si>
  <si>
    <t>AAPL 10/19/18 C17.5</t>
  </si>
  <si>
    <t>AAPL 10/19/18 P17.5</t>
  </si>
  <si>
    <t>AAPL 10/19/18 C20</t>
  </si>
  <si>
    <t>AAPL 10/19/18 P20</t>
  </si>
  <si>
    <t>AAPL 10/19/18 C22.5</t>
  </si>
  <si>
    <t>AAPL 10/19/18 P22.5</t>
  </si>
  <si>
    <t>AAPL 10/19/18 C25</t>
  </si>
  <si>
    <t>AAPL 10/19/18 P25</t>
  </si>
  <si>
    <t>AAPL 10/19/18 C30</t>
  </si>
  <si>
    <t>AAPL 10/19/18 P30</t>
  </si>
  <si>
    <t>AAPL 10/19/18 C35</t>
  </si>
  <si>
    <t>AAPL 10/19/18 P35</t>
  </si>
  <si>
    <t>AAPL 10/19/18 C40</t>
  </si>
  <si>
    <t>AAPL 10/19/18 P40</t>
  </si>
  <si>
    <t>AAPL 10/19/18 C45</t>
  </si>
  <si>
    <t>AAPL 10/19/18 P45</t>
  </si>
  <si>
    <t>AAPL 10/19/18 C50</t>
  </si>
  <si>
    <t>AAPL 10/19/18 P50</t>
  </si>
  <si>
    <t>AAPL 10/19/18 C55</t>
  </si>
  <si>
    <t>AAPL 10/19/18 P55</t>
  </si>
  <si>
    <t>AAPL 10/19/18 C60</t>
  </si>
  <si>
    <t>AAPL 10/19/18 P60</t>
  </si>
  <si>
    <t>AAPL 10/19/18 C65</t>
  </si>
  <si>
    <t>AAPL 10/19/18 P65</t>
  </si>
  <si>
    <t>AAPL 10/19/18 C70</t>
  </si>
  <si>
    <t>AAPL 10/19/18 P70</t>
  </si>
  <si>
    <t>AAPL 10/19/18 C75</t>
  </si>
  <si>
    <t>AAPL 10/19/18 P75</t>
  </si>
  <si>
    <t>AAPL 10/19/18 C80</t>
  </si>
  <si>
    <t>AAPL 10/19/18 P80</t>
  </si>
  <si>
    <t>AAPL 10/19/18 C85</t>
  </si>
  <si>
    <t>AAPL 10/19/18 P85</t>
  </si>
  <si>
    <t>AAPL 10/19/18 C90</t>
  </si>
  <si>
    <t>AAPL 10/19/18 P90</t>
  </si>
  <si>
    <t>AAPL 10/19/18 C95</t>
  </si>
  <si>
    <t>AAPL 10/19/18 P95</t>
  </si>
  <si>
    <t>AAPL 10/19/18 C100</t>
  </si>
  <si>
    <t>AAPL 10/19/18 P100</t>
  </si>
  <si>
    <t>AAPL 10/19/18 C105</t>
  </si>
  <si>
    <t>AAPL 10/19/18 P105</t>
  </si>
  <si>
    <t>AAPL 10/19/18 C110</t>
  </si>
  <si>
    <t>AAPL 10/19/18 P110</t>
  </si>
  <si>
    <t>AAPL 10/19/18 C115</t>
  </si>
  <si>
    <t>AAPL 10/19/18 P115</t>
  </si>
  <si>
    <t>AAPL 10/19/18 C120</t>
  </si>
  <si>
    <t>AAPL 10/19/18 P120</t>
  </si>
  <si>
    <t>AAPL 10/19/18 C125</t>
  </si>
  <si>
    <t>AAPL 10/19/18 P125</t>
  </si>
  <si>
    <t>AAPL 10/19/18 C130</t>
  </si>
  <si>
    <t>AAPL 10/19/18 P130</t>
  </si>
  <si>
    <t>AAPL 10/19/18 C135</t>
  </si>
  <si>
    <t>AAPL 10/19/18 P135</t>
  </si>
  <si>
    <t>AAPL 10/19/18 C140</t>
  </si>
  <si>
    <t>AAPL 10/19/18 P140</t>
  </si>
  <si>
    <t>AAPL 10/19/18 C145</t>
  </si>
  <si>
    <t>AAPL 10/19/18 P145</t>
  </si>
  <si>
    <t>AAPL 10/19/18 C150</t>
  </si>
  <si>
    <t>AAPL 10/19/18 P150</t>
  </si>
  <si>
    <t>AAPL 10/19/18 C155</t>
  </si>
  <si>
    <t>AAPL 10/19/18 P155</t>
  </si>
  <si>
    <t>AAPL 10/19/18 C160</t>
  </si>
  <si>
    <t>AAPL 10/19/18 P160</t>
  </si>
  <si>
    <t>AAPL 10/19/18 C165</t>
  </si>
  <si>
    <t>AAPL 10/19/18 P165</t>
  </si>
  <si>
    <t>AAPL 10/19/18 C170</t>
  </si>
  <si>
    <t>AAPL 10/19/18 P170</t>
  </si>
  <si>
    <t>AAPL 10/19/18 C175</t>
  </si>
  <si>
    <t>AAPL 10/19/18 P175</t>
  </si>
  <si>
    <t>AAPL 10/19/18 C180</t>
  </si>
  <si>
    <t>AAPL 10/19/18 P180</t>
  </si>
  <si>
    <t>AAPL 10/19/18 C185</t>
  </si>
  <si>
    <t>AAPL 10/19/18 P185</t>
  </si>
  <si>
    <t>AAPL 10/19/18 C190</t>
  </si>
  <si>
    <t>AAPL 10/19/18 P190</t>
  </si>
  <si>
    <t>AAPL 10/19/18 C195</t>
  </si>
  <si>
    <t>AAPL 10/19/18 P195</t>
  </si>
  <si>
    <t>AAPL 10/19/18 C200</t>
  </si>
  <si>
    <t>AAPL 10/19/18 P200</t>
  </si>
  <si>
    <t>AAPL 10/19/18 C205</t>
  </si>
  <si>
    <t>AAPL 10/19/18 P205</t>
  </si>
  <si>
    <t>AAPL 10/19/18 C210</t>
  </si>
  <si>
    <t>AAPL 10/19/18 P210</t>
  </si>
  <si>
    <t>AAPL 10/19/18 C215</t>
  </si>
  <si>
    <t>AAPL 10/19/18 P215</t>
  </si>
  <si>
    <t>AAPL 10/19/18 C220</t>
  </si>
  <si>
    <t>AAPL 10/19/18 P220</t>
  </si>
  <si>
    <t>AAPL 10/19/18 C225</t>
  </si>
  <si>
    <t>AAPL 10/19/18 P225</t>
  </si>
  <si>
    <t>AAPL 10/19/18 C230</t>
  </si>
  <si>
    <t>AAPL 10/19/18 P230</t>
  </si>
  <si>
    <t>AAPL 10/19/18 C235</t>
  </si>
  <si>
    <t>AAPL 10/19/18 P235</t>
  </si>
  <si>
    <t>AAPL 10/19/18 C240</t>
  </si>
  <si>
    <t>AAPL 10/19/18 P240</t>
  </si>
  <si>
    <t>AAPL 10/19/18 C245</t>
  </si>
  <si>
    <t>AAPL 10/19/18 P245</t>
  </si>
  <si>
    <t>AAPL 10/19/18 C250</t>
  </si>
  <si>
    <t>AAPL 10/19/18 P250</t>
  </si>
  <si>
    <t>AAPL 10/19/18 C255</t>
  </si>
  <si>
    <t>AAPL 10/19/18 P255</t>
  </si>
  <si>
    <t>AAPL 10/19/18 C260</t>
  </si>
  <si>
    <t>AAPL 10/19/18 P260</t>
  </si>
  <si>
    <t>AAPL 10/19/18 C265</t>
  </si>
  <si>
    <t>AAPL 10/19/18 P265</t>
  </si>
  <si>
    <t>AAPL 10/19/18 C270</t>
  </si>
  <si>
    <t>AAPL 10/19/18 P270</t>
  </si>
  <si>
    <t>AAPL 10/19/18 C275</t>
  </si>
  <si>
    <t>AAPL 10/19/18 P275</t>
  </si>
  <si>
    <t>AAPL 10/19/18 C280</t>
  </si>
  <si>
    <t>AAPL 10/19/18 P280</t>
  </si>
  <si>
    <t>AAPL 10/19/18 C285</t>
  </si>
  <si>
    <t>AAPL 10/19/18 P285</t>
  </si>
  <si>
    <t>AAPL 10/19/18 C290</t>
  </si>
  <si>
    <t>AAPL 10/19/18 P290</t>
  </si>
  <si>
    <t>AAPL 10/19/18 C295</t>
  </si>
  <si>
    <t>AAPL 10/19/18 P295</t>
  </si>
  <si>
    <t>AAPL 10/19/18 C300</t>
  </si>
  <si>
    <t>AAPL 10/19/18 P300</t>
  </si>
  <si>
    <t>AAPL 10/19/18 C305</t>
  </si>
  <si>
    <t>AAPL 10/19/18 P305</t>
  </si>
  <si>
    <t>AAPL 10/19/18 C310</t>
  </si>
  <si>
    <t>AAPL 10/19/18 P310</t>
  </si>
  <si>
    <t>AAPL 10/19/18 C315</t>
  </si>
  <si>
    <t>AAPL 10/19/18 P315</t>
  </si>
  <si>
    <t>AAPL 10/19/18 C320</t>
  </si>
  <si>
    <t>AAPL 10/19/18 P320</t>
  </si>
  <si>
    <t>AAPL 10/19/18 C325</t>
  </si>
  <si>
    <t>AAPL 10/19/18 P325</t>
  </si>
  <si>
    <t>AAPL 10/19/18 C330</t>
  </si>
  <si>
    <t>AAPL 10/19/18 P330</t>
  </si>
  <si>
    <t>AAPL 10/19/18 C335</t>
  </si>
  <si>
    <t>AAPL 10/19/18 P335</t>
  </si>
  <si>
    <t>AAPL 10/19/18 C340</t>
  </si>
  <si>
    <t>AAPL 10/19/18 P340</t>
  </si>
  <si>
    <t>S</t>
  </si>
  <si>
    <t>V</t>
  </si>
  <si>
    <t>CRR Tree U No Dividends</t>
  </si>
  <si>
    <t>BBG</t>
  </si>
  <si>
    <t>Start PV</t>
  </si>
  <si>
    <t>Dividend Schedule</t>
  </si>
  <si>
    <t>Bi interpolation</t>
  </si>
  <si>
    <t>Sheet Number</t>
  </si>
  <si>
    <t>Sep</t>
  </si>
  <si>
    <t>Oct</t>
  </si>
  <si>
    <t>Imp Vol</t>
  </si>
  <si>
    <t>BS Price</t>
  </si>
  <si>
    <t>Calls 13march</t>
  </si>
  <si>
    <t>16-Mar-18 (3d); CSize 100</t>
  </si>
  <si>
    <t>20-Apr-18 (38d); CSize 100</t>
  </si>
  <si>
    <t>18-May-18 (66d); CSize 100</t>
  </si>
  <si>
    <t>15-Jun-18 (94d); CSize 100</t>
  </si>
  <si>
    <t>20-Jul-18 (129d); CSize 100</t>
  </si>
  <si>
    <t>17-Aug-18 (157d); CSize 100</t>
  </si>
  <si>
    <t>21-Sep-18 (192d); CSize 100</t>
  </si>
  <si>
    <t>19-Oct-18 (220d); CSize 100</t>
  </si>
  <si>
    <t>sigmaEU</t>
  </si>
  <si>
    <t>sigmaAM</t>
  </si>
  <si>
    <t>Price</t>
  </si>
  <si>
    <t xml:space="preserve">CRR Tree Dividends </t>
  </si>
  <si>
    <t>CRR Greeks</t>
  </si>
  <si>
    <t>American Derman Tree</t>
  </si>
  <si>
    <t>For The False Position Method</t>
  </si>
  <si>
    <t>bad probability</t>
  </si>
  <si>
    <t>Derman Greeks</t>
  </si>
  <si>
    <t>EU Greeks</t>
  </si>
  <si>
    <t>EU DERMAN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</si>
</sst>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u/>
      <sz val="10"/>
      <color rgb="FFFF0000"/>
      <name val="Arial"/>
      <family val="2"/>
    </font>
    <font>
      <b/>
      <u/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12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6" fillId="0" borderId="0" xfId="2" applyFont="1"/>
    <xf numFmtId="0" fontId="3" fillId="0" borderId="0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6" fillId="0" borderId="0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10" fontId="0" fillId="0" borderId="0" xfId="1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0" fillId="0" borderId="0" xfId="0"/>
    <xf numFmtId="0" fontId="0" fillId="0" borderId="0" xfId="0" applyFill="1"/>
    <xf numFmtId="2" fontId="2" fillId="0" borderId="0" xfId="0" applyNumberFormat="1" applyFont="1" applyFill="1" applyAlignment="1">
      <alignment horizontal="center" vertical="center"/>
    </xf>
    <xf numFmtId="2" fontId="0" fillId="0" borderId="7" xfId="0" applyNumberFormat="1" applyFill="1" applyBorder="1" applyAlignment="1">
      <alignment horizontal="center" vertical="center"/>
    </xf>
    <xf numFmtId="2" fontId="0" fillId="0" borderId="8" xfId="0" applyNumberFormat="1" applyFill="1" applyBorder="1" applyAlignment="1">
      <alignment horizontal="center" vertical="center"/>
    </xf>
    <xf numFmtId="2" fontId="0" fillId="0" borderId="9" xfId="0" applyNumberForma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10" xfId="0" applyNumberFormat="1" applyFill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2" fontId="0" fillId="0" borderId="5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3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10" fillId="0" borderId="0" xfId="0" applyNumberFormat="1" applyFont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0" fillId="0" borderId="6" xfId="0" applyNumberForma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2" fontId="0" fillId="0" borderId="19" xfId="0" applyNumberForma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0" fillId="0" borderId="0" xfId="0"/>
    <xf numFmtId="0" fontId="0" fillId="0" borderId="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2" fontId="0" fillId="0" borderId="3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2" fontId="0" fillId="0" borderId="3" xfId="0" applyNumberFormat="1" applyFont="1" applyFill="1" applyBorder="1" applyAlignment="1">
      <alignment horizontal="center" vertical="center"/>
    </xf>
    <xf numFmtId="2" fontId="0" fillId="0" borderId="5" xfId="0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2" fontId="0" fillId="0" borderId="20" xfId="0" applyNumberFormat="1" applyFill="1" applyBorder="1" applyAlignment="1">
      <alignment horizontal="center" vertical="center"/>
    </xf>
    <xf numFmtId="2" fontId="0" fillId="0" borderId="21" xfId="0" applyNumberFormat="1" applyFill="1" applyBorder="1" applyAlignment="1">
      <alignment horizontal="center" vertical="center"/>
    </xf>
    <xf numFmtId="2" fontId="0" fillId="0" borderId="22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49" fontId="8" fillId="2" borderId="0" xfId="2" applyNumberFormat="1" applyFont="1" applyFill="1" applyAlignment="1">
      <alignment horizontal="center" vertical="center"/>
    </xf>
    <xf numFmtId="0" fontId="0" fillId="2" borderId="0" xfId="0" applyFill="1"/>
    <xf numFmtId="0" fontId="0" fillId="0" borderId="0" xfId="0"/>
    <xf numFmtId="0" fontId="0" fillId="0" borderId="0" xfId="0" applyFill="1"/>
    <xf numFmtId="2" fontId="0" fillId="6" borderId="5" xfId="0" applyNumberFormat="1" applyFill="1" applyBorder="1" applyAlignment="1">
      <alignment horizontal="center" vertical="center"/>
    </xf>
    <xf numFmtId="2" fontId="0" fillId="7" borderId="3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</cellXfs>
  <cellStyles count="3">
    <cellStyle name="Normal" xfId="0" builtinId="0"/>
    <cellStyle name="Normal 2" xfId="2" xr:uid="{CD156F35-8375-0A42-BF0F-4D689C819AC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101600</xdr:colOff>
      <xdr:row>38</xdr:row>
      <xdr:rowOff>0</xdr:rowOff>
    </xdr:from>
    <xdr:to>
      <xdr:col>5</xdr:col>
      <xdr:colOff>635000</xdr:colOff>
      <xdr:row>41</xdr:row>
      <xdr:rowOff>0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7E7B16DC-BA3D-1145-9895-AF783DB1C633}"/>
            </a:ext>
          </a:extLst>
        </xdr:cNvPr>
        <xdr:cNvCxnSpPr/>
      </xdr:nvCxnSpPr>
      <xdr:spPr>
        <a:xfrm flipV="1">
          <a:off x="28150015" y="7542561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98621</xdr:colOff>
      <xdr:row>41</xdr:row>
      <xdr:rowOff>2248</xdr:rowOff>
    </xdr:from>
    <xdr:to>
      <xdr:col>5</xdr:col>
      <xdr:colOff>632021</xdr:colOff>
      <xdr:row>44</xdr:row>
      <xdr:rowOff>2248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15BF88AA-00EE-E447-89C4-91E931E4B540}"/>
            </a:ext>
          </a:extLst>
        </xdr:cNvPr>
        <xdr:cNvCxnSpPr/>
      </xdr:nvCxnSpPr>
      <xdr:spPr>
        <a:xfrm>
          <a:off x="28147036" y="8148833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58012</xdr:colOff>
      <xdr:row>35</xdr:row>
      <xdr:rowOff>0</xdr:rowOff>
    </xdr:from>
    <xdr:to>
      <xdr:col>7</xdr:col>
      <xdr:colOff>591412</xdr:colOff>
      <xdr:row>38</xdr:row>
      <xdr:rowOff>1</xdr:rowOff>
    </xdr:to>
    <xdr:cxnSp macro="">
      <xdr:nvCxnSpPr>
        <xdr:cNvPr id="84" name="Straight Arrow Connector 83">
          <a:extLst>
            <a:ext uri="{FF2B5EF4-FFF2-40B4-BE49-F238E27FC236}">
              <a16:creationId xmlns:a16="http://schemas.microsoft.com/office/drawing/2014/main" id="{6C814D78-1326-AD42-ABB1-4B5D2B656C53}"/>
            </a:ext>
          </a:extLst>
        </xdr:cNvPr>
        <xdr:cNvCxnSpPr/>
      </xdr:nvCxnSpPr>
      <xdr:spPr>
        <a:xfrm flipV="1">
          <a:off x="30088866" y="6938537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55033</xdr:colOff>
      <xdr:row>38</xdr:row>
      <xdr:rowOff>2249</xdr:rowOff>
    </xdr:from>
    <xdr:to>
      <xdr:col>7</xdr:col>
      <xdr:colOff>588433</xdr:colOff>
      <xdr:row>41</xdr:row>
      <xdr:rowOff>2248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228151AA-F58A-A24C-9DFF-C3F7661F5F97}"/>
            </a:ext>
          </a:extLst>
        </xdr:cNvPr>
        <xdr:cNvCxnSpPr/>
      </xdr:nvCxnSpPr>
      <xdr:spPr>
        <a:xfrm>
          <a:off x="30085887" y="7544810"/>
          <a:ext cx="533400" cy="60402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49546</xdr:colOff>
      <xdr:row>40</xdr:row>
      <xdr:rowOff>194733</xdr:rowOff>
    </xdr:from>
    <xdr:to>
      <xdr:col>7</xdr:col>
      <xdr:colOff>582946</xdr:colOff>
      <xdr:row>44</xdr:row>
      <xdr:rowOff>0</xdr:rowOff>
    </xdr:to>
    <xdr:cxnSp macro="">
      <xdr:nvCxnSpPr>
        <xdr:cNvPr id="86" name="Straight Arrow Connector 85">
          <a:extLst>
            <a:ext uri="{FF2B5EF4-FFF2-40B4-BE49-F238E27FC236}">
              <a16:creationId xmlns:a16="http://schemas.microsoft.com/office/drawing/2014/main" id="{CE785753-0405-6348-B059-17DDCA1B7E49}"/>
            </a:ext>
          </a:extLst>
        </xdr:cNvPr>
        <xdr:cNvCxnSpPr/>
      </xdr:nvCxnSpPr>
      <xdr:spPr>
        <a:xfrm flipV="1">
          <a:off x="30080400" y="8139977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46567</xdr:colOff>
      <xdr:row>44</xdr:row>
      <xdr:rowOff>2248</xdr:rowOff>
    </xdr:from>
    <xdr:to>
      <xdr:col>7</xdr:col>
      <xdr:colOff>579967</xdr:colOff>
      <xdr:row>47</xdr:row>
      <xdr:rowOff>2248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AAAE1FC0-CF46-4548-ADE4-125D9A63CF42}"/>
            </a:ext>
          </a:extLst>
        </xdr:cNvPr>
        <xdr:cNvCxnSpPr/>
      </xdr:nvCxnSpPr>
      <xdr:spPr>
        <a:xfrm>
          <a:off x="30077421" y="8752858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49546</xdr:colOff>
      <xdr:row>31</xdr:row>
      <xdr:rowOff>194733</xdr:rowOff>
    </xdr:from>
    <xdr:to>
      <xdr:col>9</xdr:col>
      <xdr:colOff>582946</xdr:colOff>
      <xdr:row>35</xdr:row>
      <xdr:rowOff>0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C2701E0F-43C1-7049-8D51-BAD50AD1451D}"/>
            </a:ext>
          </a:extLst>
        </xdr:cNvPr>
        <xdr:cNvCxnSpPr/>
      </xdr:nvCxnSpPr>
      <xdr:spPr>
        <a:xfrm flipV="1">
          <a:off x="31907961" y="6327904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46567</xdr:colOff>
      <xdr:row>35</xdr:row>
      <xdr:rowOff>2248</xdr:rowOff>
    </xdr:from>
    <xdr:to>
      <xdr:col>9</xdr:col>
      <xdr:colOff>579967</xdr:colOff>
      <xdr:row>38</xdr:row>
      <xdr:rowOff>2248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8644AE74-AC47-CD41-8AD7-D1419749B26D}"/>
            </a:ext>
          </a:extLst>
        </xdr:cNvPr>
        <xdr:cNvCxnSpPr/>
      </xdr:nvCxnSpPr>
      <xdr:spPr>
        <a:xfrm>
          <a:off x="31904982" y="6940785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49546</xdr:colOff>
      <xdr:row>38</xdr:row>
      <xdr:rowOff>0</xdr:rowOff>
    </xdr:from>
    <xdr:to>
      <xdr:col>9</xdr:col>
      <xdr:colOff>582946</xdr:colOff>
      <xdr:row>41</xdr:row>
      <xdr:rowOff>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EB5BCDD9-E1A0-6644-8D56-A565CFA9528E}"/>
            </a:ext>
          </a:extLst>
        </xdr:cNvPr>
        <xdr:cNvCxnSpPr/>
      </xdr:nvCxnSpPr>
      <xdr:spPr>
        <a:xfrm flipV="1">
          <a:off x="31907961" y="7542561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46567</xdr:colOff>
      <xdr:row>41</xdr:row>
      <xdr:rowOff>2248</xdr:rowOff>
    </xdr:from>
    <xdr:to>
      <xdr:col>9</xdr:col>
      <xdr:colOff>579967</xdr:colOff>
      <xdr:row>44</xdr:row>
      <xdr:rowOff>2248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E55C0DDA-34A0-BB46-A085-131D6F5CFAC4}"/>
            </a:ext>
          </a:extLst>
        </xdr:cNvPr>
        <xdr:cNvCxnSpPr/>
      </xdr:nvCxnSpPr>
      <xdr:spPr>
        <a:xfrm>
          <a:off x="31904982" y="8148833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41080</xdr:colOff>
      <xdr:row>44</xdr:row>
      <xdr:rowOff>0</xdr:rowOff>
    </xdr:from>
    <xdr:to>
      <xdr:col>9</xdr:col>
      <xdr:colOff>574480</xdr:colOff>
      <xdr:row>47</xdr:row>
      <xdr:rowOff>1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D0B78227-1C5B-4448-A7D6-1CEA13048D54}"/>
            </a:ext>
          </a:extLst>
        </xdr:cNvPr>
        <xdr:cNvCxnSpPr/>
      </xdr:nvCxnSpPr>
      <xdr:spPr>
        <a:xfrm flipV="1">
          <a:off x="31899495" y="8750610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38101</xdr:colOff>
      <xdr:row>47</xdr:row>
      <xdr:rowOff>2249</xdr:rowOff>
    </xdr:from>
    <xdr:to>
      <xdr:col>9</xdr:col>
      <xdr:colOff>571501</xdr:colOff>
      <xdr:row>50</xdr:row>
      <xdr:rowOff>2248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46BDFF35-4717-5C4C-800F-814E65E2E044}"/>
            </a:ext>
          </a:extLst>
        </xdr:cNvPr>
        <xdr:cNvCxnSpPr/>
      </xdr:nvCxnSpPr>
      <xdr:spPr>
        <a:xfrm>
          <a:off x="31896516" y="9341395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41080</xdr:colOff>
      <xdr:row>29</xdr:row>
      <xdr:rowOff>0</xdr:rowOff>
    </xdr:from>
    <xdr:to>
      <xdr:col>11</xdr:col>
      <xdr:colOff>574480</xdr:colOff>
      <xdr:row>32</xdr:row>
      <xdr:rowOff>0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DEF1C9A2-571D-AF4D-BECF-17AC14DB8381}"/>
            </a:ext>
          </a:extLst>
        </xdr:cNvPr>
        <xdr:cNvCxnSpPr/>
      </xdr:nvCxnSpPr>
      <xdr:spPr>
        <a:xfrm flipV="1">
          <a:off x="33727056" y="5745976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38101</xdr:colOff>
      <xdr:row>32</xdr:row>
      <xdr:rowOff>2248</xdr:rowOff>
    </xdr:from>
    <xdr:to>
      <xdr:col>11</xdr:col>
      <xdr:colOff>571501</xdr:colOff>
      <xdr:row>35</xdr:row>
      <xdr:rowOff>2248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E603F055-A4CE-5D41-9454-E2C0BF8F9DB9}"/>
            </a:ext>
          </a:extLst>
        </xdr:cNvPr>
        <xdr:cNvCxnSpPr/>
      </xdr:nvCxnSpPr>
      <xdr:spPr>
        <a:xfrm>
          <a:off x="33724077" y="6336760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49547</xdr:colOff>
      <xdr:row>35</xdr:row>
      <xdr:rowOff>0</xdr:rowOff>
    </xdr:from>
    <xdr:to>
      <xdr:col>11</xdr:col>
      <xdr:colOff>582947</xdr:colOff>
      <xdr:row>38</xdr:row>
      <xdr:rowOff>1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DD60B285-A1C6-5240-9BB9-6CD74906178D}"/>
            </a:ext>
          </a:extLst>
        </xdr:cNvPr>
        <xdr:cNvCxnSpPr/>
      </xdr:nvCxnSpPr>
      <xdr:spPr>
        <a:xfrm flipV="1">
          <a:off x="33735523" y="6938537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46568</xdr:colOff>
      <xdr:row>38</xdr:row>
      <xdr:rowOff>2249</xdr:rowOff>
    </xdr:from>
    <xdr:to>
      <xdr:col>11</xdr:col>
      <xdr:colOff>579968</xdr:colOff>
      <xdr:row>41</xdr:row>
      <xdr:rowOff>2248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D71FB8FD-80EA-2E4E-A230-A995327C9CB1}"/>
            </a:ext>
          </a:extLst>
        </xdr:cNvPr>
        <xdr:cNvCxnSpPr/>
      </xdr:nvCxnSpPr>
      <xdr:spPr>
        <a:xfrm>
          <a:off x="33732544" y="7544810"/>
          <a:ext cx="533400" cy="60402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49547</xdr:colOff>
      <xdr:row>40</xdr:row>
      <xdr:rowOff>194733</xdr:rowOff>
    </xdr:from>
    <xdr:to>
      <xdr:col>11</xdr:col>
      <xdr:colOff>582947</xdr:colOff>
      <xdr:row>44</xdr:row>
      <xdr:rowOff>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60BF796F-BF8A-AE49-95E1-D2A95C2CE46F}"/>
            </a:ext>
          </a:extLst>
        </xdr:cNvPr>
        <xdr:cNvCxnSpPr/>
      </xdr:nvCxnSpPr>
      <xdr:spPr>
        <a:xfrm flipV="1">
          <a:off x="33735523" y="8139977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46568</xdr:colOff>
      <xdr:row>44</xdr:row>
      <xdr:rowOff>2248</xdr:rowOff>
    </xdr:from>
    <xdr:to>
      <xdr:col>11</xdr:col>
      <xdr:colOff>579968</xdr:colOff>
      <xdr:row>47</xdr:row>
      <xdr:rowOff>2248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FD410E20-B5BF-6047-85DE-8EA39C9F6B52}"/>
            </a:ext>
          </a:extLst>
        </xdr:cNvPr>
        <xdr:cNvCxnSpPr/>
      </xdr:nvCxnSpPr>
      <xdr:spPr>
        <a:xfrm>
          <a:off x="33732544" y="8752858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58014</xdr:colOff>
      <xdr:row>47</xdr:row>
      <xdr:rowOff>0</xdr:rowOff>
    </xdr:from>
    <xdr:to>
      <xdr:col>11</xdr:col>
      <xdr:colOff>591414</xdr:colOff>
      <xdr:row>50</xdr:row>
      <xdr:rowOff>0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CEAF3FC1-B237-8243-915D-2C773EFAB171}"/>
            </a:ext>
          </a:extLst>
        </xdr:cNvPr>
        <xdr:cNvCxnSpPr/>
      </xdr:nvCxnSpPr>
      <xdr:spPr>
        <a:xfrm flipV="1">
          <a:off x="33743990" y="9339146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55035</xdr:colOff>
      <xdr:row>50</xdr:row>
      <xdr:rowOff>2248</xdr:rowOff>
    </xdr:from>
    <xdr:to>
      <xdr:col>11</xdr:col>
      <xdr:colOff>588435</xdr:colOff>
      <xdr:row>53</xdr:row>
      <xdr:rowOff>2248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CCA42F1-CE87-FB46-B45C-E64BF772D7FE}"/>
            </a:ext>
          </a:extLst>
        </xdr:cNvPr>
        <xdr:cNvCxnSpPr/>
      </xdr:nvCxnSpPr>
      <xdr:spPr>
        <a:xfrm>
          <a:off x="33741011" y="9929931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83414</xdr:colOff>
      <xdr:row>25</xdr:row>
      <xdr:rowOff>198966</xdr:rowOff>
    </xdr:from>
    <xdr:to>
      <xdr:col>13</xdr:col>
      <xdr:colOff>616814</xdr:colOff>
      <xdr:row>28</xdr:row>
      <xdr:rowOff>169333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B806517A-D703-C142-84CA-7CC5057D8D61}"/>
            </a:ext>
          </a:extLst>
        </xdr:cNvPr>
        <xdr:cNvCxnSpPr/>
      </xdr:nvCxnSpPr>
      <xdr:spPr>
        <a:xfrm flipV="1">
          <a:off x="35596951" y="5142364"/>
          <a:ext cx="533400" cy="57160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80435</xdr:colOff>
      <xdr:row>28</xdr:row>
      <xdr:rowOff>171581</xdr:rowOff>
    </xdr:from>
    <xdr:to>
      <xdr:col>13</xdr:col>
      <xdr:colOff>613835</xdr:colOff>
      <xdr:row>31</xdr:row>
      <xdr:rowOff>184281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23B63942-BA49-3A4A-8289-36E329BBF141}"/>
            </a:ext>
          </a:extLst>
        </xdr:cNvPr>
        <xdr:cNvCxnSpPr/>
      </xdr:nvCxnSpPr>
      <xdr:spPr>
        <a:xfrm>
          <a:off x="35593972" y="5716215"/>
          <a:ext cx="533400" cy="6012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83414</xdr:colOff>
      <xdr:row>32</xdr:row>
      <xdr:rowOff>21166</xdr:rowOff>
    </xdr:from>
    <xdr:to>
      <xdr:col>13</xdr:col>
      <xdr:colOff>616814</xdr:colOff>
      <xdr:row>34</xdr:row>
      <xdr:rowOff>232833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90B83D0D-BF95-174B-BB44-5CD0E958E5D6}"/>
            </a:ext>
          </a:extLst>
        </xdr:cNvPr>
        <xdr:cNvCxnSpPr/>
      </xdr:nvCxnSpPr>
      <xdr:spPr>
        <a:xfrm flipV="1">
          <a:off x="35596951" y="6355678"/>
          <a:ext cx="533400" cy="588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80435</xdr:colOff>
      <xdr:row>34</xdr:row>
      <xdr:rowOff>235081</xdr:rowOff>
    </xdr:from>
    <xdr:to>
      <xdr:col>13</xdr:col>
      <xdr:colOff>613835</xdr:colOff>
      <xdr:row>37</xdr:row>
      <xdr:rowOff>196981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ADCA078D-2767-CA4F-A047-1A42921E00F4}"/>
            </a:ext>
          </a:extLst>
        </xdr:cNvPr>
        <xdr:cNvCxnSpPr/>
      </xdr:nvCxnSpPr>
      <xdr:spPr>
        <a:xfrm>
          <a:off x="35593972" y="6934176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58014</xdr:colOff>
      <xdr:row>37</xdr:row>
      <xdr:rowOff>186266</xdr:rowOff>
    </xdr:from>
    <xdr:to>
      <xdr:col>13</xdr:col>
      <xdr:colOff>591414</xdr:colOff>
      <xdr:row>40</xdr:row>
      <xdr:rowOff>194733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CEEEE39-57E1-FB47-B2EA-EB6C43ABED41}"/>
            </a:ext>
          </a:extLst>
        </xdr:cNvPr>
        <xdr:cNvCxnSpPr/>
      </xdr:nvCxnSpPr>
      <xdr:spPr>
        <a:xfrm flipV="1">
          <a:off x="35571551" y="7527486"/>
          <a:ext cx="533400" cy="6124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55035</xdr:colOff>
      <xdr:row>40</xdr:row>
      <xdr:rowOff>196981</xdr:rowOff>
    </xdr:from>
    <xdr:to>
      <xdr:col>13</xdr:col>
      <xdr:colOff>588435</xdr:colOff>
      <xdr:row>43</xdr:row>
      <xdr:rowOff>196981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621CEF66-6D33-8745-AFE2-1143BFCD6D35}"/>
            </a:ext>
          </a:extLst>
        </xdr:cNvPr>
        <xdr:cNvCxnSpPr/>
      </xdr:nvCxnSpPr>
      <xdr:spPr>
        <a:xfrm>
          <a:off x="35568572" y="8142225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45314</xdr:colOff>
      <xdr:row>43</xdr:row>
      <xdr:rowOff>186266</xdr:rowOff>
    </xdr:from>
    <xdr:to>
      <xdr:col>13</xdr:col>
      <xdr:colOff>578714</xdr:colOff>
      <xdr:row>46</xdr:row>
      <xdr:rowOff>194733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E7FBE156-BC82-9848-8673-C0D5EE70D942}"/>
            </a:ext>
          </a:extLst>
        </xdr:cNvPr>
        <xdr:cNvCxnSpPr/>
      </xdr:nvCxnSpPr>
      <xdr:spPr>
        <a:xfrm flipV="1">
          <a:off x="35558851" y="8735534"/>
          <a:ext cx="533400" cy="61249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42335</xdr:colOff>
      <xdr:row>46</xdr:row>
      <xdr:rowOff>196981</xdr:rowOff>
    </xdr:from>
    <xdr:to>
      <xdr:col>13</xdr:col>
      <xdr:colOff>575735</xdr:colOff>
      <xdr:row>50</xdr:row>
      <xdr:rowOff>6481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BB27B32F-685F-4246-BC0C-0FE287C01AA2}"/>
            </a:ext>
          </a:extLst>
        </xdr:cNvPr>
        <xdr:cNvCxnSpPr/>
      </xdr:nvCxnSpPr>
      <xdr:spPr>
        <a:xfrm>
          <a:off x="35555872" y="9337574"/>
          <a:ext cx="533400" cy="59659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58014</xdr:colOff>
      <xdr:row>49</xdr:row>
      <xdr:rowOff>173566</xdr:rowOff>
    </xdr:from>
    <xdr:to>
      <xdr:col>13</xdr:col>
      <xdr:colOff>591414</xdr:colOff>
      <xdr:row>53</xdr:row>
      <xdr:rowOff>4233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2D41C2BA-4360-8E46-B63D-47CA9E6D919B}"/>
            </a:ext>
          </a:extLst>
        </xdr:cNvPr>
        <xdr:cNvCxnSpPr/>
      </xdr:nvCxnSpPr>
      <xdr:spPr>
        <a:xfrm flipV="1">
          <a:off x="35571551" y="9915395"/>
          <a:ext cx="533400" cy="60505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55035</xdr:colOff>
      <xdr:row>53</xdr:row>
      <xdr:rowOff>6481</xdr:rowOff>
    </xdr:from>
    <xdr:to>
      <xdr:col>13</xdr:col>
      <xdr:colOff>588435</xdr:colOff>
      <xdr:row>56</xdr:row>
      <xdr:rowOff>19181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C7E5215-9DD0-6441-BA92-7B1EA561C28A}"/>
            </a:ext>
          </a:extLst>
        </xdr:cNvPr>
        <xdr:cNvCxnSpPr/>
      </xdr:nvCxnSpPr>
      <xdr:spPr>
        <a:xfrm>
          <a:off x="35568572" y="10522701"/>
          <a:ext cx="533400" cy="6012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101600</xdr:colOff>
      <xdr:row>38</xdr:row>
      <xdr:rowOff>0</xdr:rowOff>
    </xdr:from>
    <xdr:to>
      <xdr:col>5</xdr:col>
      <xdr:colOff>635000</xdr:colOff>
      <xdr:row>41</xdr:row>
      <xdr:rowOff>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5E25C62E-E523-DE4C-8D09-CF86BF465B7C}"/>
            </a:ext>
          </a:extLst>
        </xdr:cNvPr>
        <xdr:cNvCxnSpPr/>
      </xdr:nvCxnSpPr>
      <xdr:spPr>
        <a:xfrm flipV="1">
          <a:off x="28150015" y="7542561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98621</xdr:colOff>
      <xdr:row>41</xdr:row>
      <xdr:rowOff>2248</xdr:rowOff>
    </xdr:from>
    <xdr:to>
      <xdr:col>5</xdr:col>
      <xdr:colOff>632021</xdr:colOff>
      <xdr:row>44</xdr:row>
      <xdr:rowOff>2248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FA58A4F3-3C01-B748-B6EA-2B67DC2F105F}"/>
            </a:ext>
          </a:extLst>
        </xdr:cNvPr>
        <xdr:cNvCxnSpPr/>
      </xdr:nvCxnSpPr>
      <xdr:spPr>
        <a:xfrm>
          <a:off x="28147036" y="8148833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58012</xdr:colOff>
      <xdr:row>35</xdr:row>
      <xdr:rowOff>0</xdr:rowOff>
    </xdr:from>
    <xdr:to>
      <xdr:col>7</xdr:col>
      <xdr:colOff>591412</xdr:colOff>
      <xdr:row>38</xdr:row>
      <xdr:rowOff>1</xdr:rowOff>
    </xdr:to>
    <xdr:cxnSp macro="">
      <xdr:nvCxnSpPr>
        <xdr:cNvPr id="144" name="Straight Arrow Connector 143">
          <a:extLst>
            <a:ext uri="{FF2B5EF4-FFF2-40B4-BE49-F238E27FC236}">
              <a16:creationId xmlns:a16="http://schemas.microsoft.com/office/drawing/2014/main" id="{3EE278A6-67DA-414F-A1BA-7D6D129A4D0D}"/>
            </a:ext>
          </a:extLst>
        </xdr:cNvPr>
        <xdr:cNvCxnSpPr/>
      </xdr:nvCxnSpPr>
      <xdr:spPr>
        <a:xfrm flipV="1">
          <a:off x="30088866" y="6938537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55033</xdr:colOff>
      <xdr:row>38</xdr:row>
      <xdr:rowOff>2249</xdr:rowOff>
    </xdr:from>
    <xdr:to>
      <xdr:col>7</xdr:col>
      <xdr:colOff>588433</xdr:colOff>
      <xdr:row>41</xdr:row>
      <xdr:rowOff>2248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8DBAE79E-0231-CF4F-BAE1-3E6A4E2C660A}"/>
            </a:ext>
          </a:extLst>
        </xdr:cNvPr>
        <xdr:cNvCxnSpPr/>
      </xdr:nvCxnSpPr>
      <xdr:spPr>
        <a:xfrm>
          <a:off x="30085887" y="7544810"/>
          <a:ext cx="533400" cy="60402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49546</xdr:colOff>
      <xdr:row>40</xdr:row>
      <xdr:rowOff>194733</xdr:rowOff>
    </xdr:from>
    <xdr:to>
      <xdr:col>7</xdr:col>
      <xdr:colOff>582946</xdr:colOff>
      <xdr:row>44</xdr:row>
      <xdr:rowOff>0</xdr:rowOff>
    </xdr:to>
    <xdr:cxnSp macro="">
      <xdr:nvCxnSpPr>
        <xdr:cNvPr id="146" name="Straight Arrow Connector 145">
          <a:extLst>
            <a:ext uri="{FF2B5EF4-FFF2-40B4-BE49-F238E27FC236}">
              <a16:creationId xmlns:a16="http://schemas.microsoft.com/office/drawing/2014/main" id="{4B26A5C4-0B90-1E45-8AAC-4214DC9CB050}"/>
            </a:ext>
          </a:extLst>
        </xdr:cNvPr>
        <xdr:cNvCxnSpPr/>
      </xdr:nvCxnSpPr>
      <xdr:spPr>
        <a:xfrm flipV="1">
          <a:off x="30080400" y="8139977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46567</xdr:colOff>
      <xdr:row>44</xdr:row>
      <xdr:rowOff>2248</xdr:rowOff>
    </xdr:from>
    <xdr:to>
      <xdr:col>7</xdr:col>
      <xdr:colOff>579967</xdr:colOff>
      <xdr:row>47</xdr:row>
      <xdr:rowOff>2248</xdr:rowOff>
    </xdr:to>
    <xdr:cxnSp macro="">
      <xdr:nvCxnSpPr>
        <xdr:cNvPr id="147" name="Straight Arrow Connector 146">
          <a:extLst>
            <a:ext uri="{FF2B5EF4-FFF2-40B4-BE49-F238E27FC236}">
              <a16:creationId xmlns:a16="http://schemas.microsoft.com/office/drawing/2014/main" id="{C3F035A8-9062-5244-ABB5-F6D683E5CD01}"/>
            </a:ext>
          </a:extLst>
        </xdr:cNvPr>
        <xdr:cNvCxnSpPr/>
      </xdr:nvCxnSpPr>
      <xdr:spPr>
        <a:xfrm>
          <a:off x="30077421" y="8752858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49546</xdr:colOff>
      <xdr:row>31</xdr:row>
      <xdr:rowOff>194733</xdr:rowOff>
    </xdr:from>
    <xdr:to>
      <xdr:col>9</xdr:col>
      <xdr:colOff>582946</xdr:colOff>
      <xdr:row>35</xdr:row>
      <xdr:rowOff>0</xdr:rowOff>
    </xdr:to>
    <xdr:cxnSp macro="">
      <xdr:nvCxnSpPr>
        <xdr:cNvPr id="148" name="Straight Arrow Connector 147">
          <a:extLst>
            <a:ext uri="{FF2B5EF4-FFF2-40B4-BE49-F238E27FC236}">
              <a16:creationId xmlns:a16="http://schemas.microsoft.com/office/drawing/2014/main" id="{EE77ED5E-F13E-1248-84E7-9CA0538CADEB}"/>
            </a:ext>
          </a:extLst>
        </xdr:cNvPr>
        <xdr:cNvCxnSpPr/>
      </xdr:nvCxnSpPr>
      <xdr:spPr>
        <a:xfrm flipV="1">
          <a:off x="31907961" y="6327904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46567</xdr:colOff>
      <xdr:row>35</xdr:row>
      <xdr:rowOff>2248</xdr:rowOff>
    </xdr:from>
    <xdr:to>
      <xdr:col>9</xdr:col>
      <xdr:colOff>579967</xdr:colOff>
      <xdr:row>38</xdr:row>
      <xdr:rowOff>2248</xdr:rowOff>
    </xdr:to>
    <xdr:cxnSp macro="">
      <xdr:nvCxnSpPr>
        <xdr:cNvPr id="149" name="Straight Arrow Connector 148">
          <a:extLst>
            <a:ext uri="{FF2B5EF4-FFF2-40B4-BE49-F238E27FC236}">
              <a16:creationId xmlns:a16="http://schemas.microsoft.com/office/drawing/2014/main" id="{DB8DFD82-6F0B-F847-8739-433EA034FF78}"/>
            </a:ext>
          </a:extLst>
        </xdr:cNvPr>
        <xdr:cNvCxnSpPr/>
      </xdr:nvCxnSpPr>
      <xdr:spPr>
        <a:xfrm>
          <a:off x="31904982" y="6940785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49546</xdr:colOff>
      <xdr:row>38</xdr:row>
      <xdr:rowOff>0</xdr:rowOff>
    </xdr:from>
    <xdr:to>
      <xdr:col>9</xdr:col>
      <xdr:colOff>582946</xdr:colOff>
      <xdr:row>41</xdr:row>
      <xdr:rowOff>0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5BB03AFC-CFF1-2949-B129-2784430FBFD9}"/>
            </a:ext>
          </a:extLst>
        </xdr:cNvPr>
        <xdr:cNvCxnSpPr/>
      </xdr:nvCxnSpPr>
      <xdr:spPr>
        <a:xfrm flipV="1">
          <a:off x="31907961" y="7542561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46567</xdr:colOff>
      <xdr:row>41</xdr:row>
      <xdr:rowOff>2248</xdr:rowOff>
    </xdr:from>
    <xdr:to>
      <xdr:col>9</xdr:col>
      <xdr:colOff>579967</xdr:colOff>
      <xdr:row>44</xdr:row>
      <xdr:rowOff>2248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EA3FBB53-AF58-DF43-B207-F9E813D94B06}"/>
            </a:ext>
          </a:extLst>
        </xdr:cNvPr>
        <xdr:cNvCxnSpPr/>
      </xdr:nvCxnSpPr>
      <xdr:spPr>
        <a:xfrm>
          <a:off x="31904982" y="8148833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41080</xdr:colOff>
      <xdr:row>44</xdr:row>
      <xdr:rowOff>0</xdr:rowOff>
    </xdr:from>
    <xdr:to>
      <xdr:col>9</xdr:col>
      <xdr:colOff>574480</xdr:colOff>
      <xdr:row>47</xdr:row>
      <xdr:rowOff>1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41D9ED22-7657-054A-8F94-E472C607F842}"/>
            </a:ext>
          </a:extLst>
        </xdr:cNvPr>
        <xdr:cNvCxnSpPr/>
      </xdr:nvCxnSpPr>
      <xdr:spPr>
        <a:xfrm flipV="1">
          <a:off x="31899495" y="8750610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38101</xdr:colOff>
      <xdr:row>47</xdr:row>
      <xdr:rowOff>2249</xdr:rowOff>
    </xdr:from>
    <xdr:to>
      <xdr:col>9</xdr:col>
      <xdr:colOff>571501</xdr:colOff>
      <xdr:row>50</xdr:row>
      <xdr:rowOff>2248</xdr:rowOff>
    </xdr:to>
    <xdr:cxnSp macro="">
      <xdr:nvCxnSpPr>
        <xdr:cNvPr id="153" name="Straight Arrow Connector 152">
          <a:extLst>
            <a:ext uri="{FF2B5EF4-FFF2-40B4-BE49-F238E27FC236}">
              <a16:creationId xmlns:a16="http://schemas.microsoft.com/office/drawing/2014/main" id="{D265AB2A-3F3F-0143-9E53-933BA54AE892}"/>
            </a:ext>
          </a:extLst>
        </xdr:cNvPr>
        <xdr:cNvCxnSpPr/>
      </xdr:nvCxnSpPr>
      <xdr:spPr>
        <a:xfrm>
          <a:off x="31896516" y="9341395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41080</xdr:colOff>
      <xdr:row>29</xdr:row>
      <xdr:rowOff>0</xdr:rowOff>
    </xdr:from>
    <xdr:to>
      <xdr:col>11</xdr:col>
      <xdr:colOff>574480</xdr:colOff>
      <xdr:row>32</xdr:row>
      <xdr:rowOff>0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67E4EA49-EE97-5F48-8E38-0716BFE7413F}"/>
            </a:ext>
          </a:extLst>
        </xdr:cNvPr>
        <xdr:cNvCxnSpPr/>
      </xdr:nvCxnSpPr>
      <xdr:spPr>
        <a:xfrm flipV="1">
          <a:off x="33727056" y="5745976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38101</xdr:colOff>
      <xdr:row>32</xdr:row>
      <xdr:rowOff>2248</xdr:rowOff>
    </xdr:from>
    <xdr:to>
      <xdr:col>11</xdr:col>
      <xdr:colOff>571501</xdr:colOff>
      <xdr:row>35</xdr:row>
      <xdr:rowOff>2248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0D2BBCEF-A9B3-0942-BD31-4E084F718135}"/>
            </a:ext>
          </a:extLst>
        </xdr:cNvPr>
        <xdr:cNvCxnSpPr/>
      </xdr:nvCxnSpPr>
      <xdr:spPr>
        <a:xfrm>
          <a:off x="33724077" y="6336760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49547</xdr:colOff>
      <xdr:row>35</xdr:row>
      <xdr:rowOff>0</xdr:rowOff>
    </xdr:from>
    <xdr:to>
      <xdr:col>11</xdr:col>
      <xdr:colOff>582947</xdr:colOff>
      <xdr:row>38</xdr:row>
      <xdr:rowOff>1</xdr:rowOff>
    </xdr:to>
    <xdr:cxnSp macro="">
      <xdr:nvCxnSpPr>
        <xdr:cNvPr id="156" name="Straight Arrow Connector 155">
          <a:extLst>
            <a:ext uri="{FF2B5EF4-FFF2-40B4-BE49-F238E27FC236}">
              <a16:creationId xmlns:a16="http://schemas.microsoft.com/office/drawing/2014/main" id="{257BD63F-E28C-FF4A-85BD-275C73B77D1A}"/>
            </a:ext>
          </a:extLst>
        </xdr:cNvPr>
        <xdr:cNvCxnSpPr/>
      </xdr:nvCxnSpPr>
      <xdr:spPr>
        <a:xfrm flipV="1">
          <a:off x="33735523" y="6938537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46568</xdr:colOff>
      <xdr:row>38</xdr:row>
      <xdr:rowOff>2249</xdr:rowOff>
    </xdr:from>
    <xdr:to>
      <xdr:col>11</xdr:col>
      <xdr:colOff>579968</xdr:colOff>
      <xdr:row>41</xdr:row>
      <xdr:rowOff>2248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88CFE31A-DE87-744F-AF74-85FD67FD715A}"/>
            </a:ext>
          </a:extLst>
        </xdr:cNvPr>
        <xdr:cNvCxnSpPr/>
      </xdr:nvCxnSpPr>
      <xdr:spPr>
        <a:xfrm>
          <a:off x="33732544" y="7544810"/>
          <a:ext cx="533400" cy="60402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49547</xdr:colOff>
      <xdr:row>40</xdr:row>
      <xdr:rowOff>194733</xdr:rowOff>
    </xdr:from>
    <xdr:to>
      <xdr:col>11</xdr:col>
      <xdr:colOff>582947</xdr:colOff>
      <xdr:row>44</xdr:row>
      <xdr:rowOff>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C4572B96-7B6E-C94C-97C8-D1A7FE44E29B}"/>
            </a:ext>
          </a:extLst>
        </xdr:cNvPr>
        <xdr:cNvCxnSpPr/>
      </xdr:nvCxnSpPr>
      <xdr:spPr>
        <a:xfrm flipV="1">
          <a:off x="33735523" y="8139977"/>
          <a:ext cx="533400" cy="6106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46568</xdr:colOff>
      <xdr:row>44</xdr:row>
      <xdr:rowOff>2248</xdr:rowOff>
    </xdr:from>
    <xdr:to>
      <xdr:col>11</xdr:col>
      <xdr:colOff>579968</xdr:colOff>
      <xdr:row>47</xdr:row>
      <xdr:rowOff>2248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4AEEDAD8-C665-AB47-AFFB-5675FEDF9F1A}"/>
            </a:ext>
          </a:extLst>
        </xdr:cNvPr>
        <xdr:cNvCxnSpPr/>
      </xdr:nvCxnSpPr>
      <xdr:spPr>
        <a:xfrm>
          <a:off x="33732544" y="8752858"/>
          <a:ext cx="533400" cy="5885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58014</xdr:colOff>
      <xdr:row>47</xdr:row>
      <xdr:rowOff>0</xdr:rowOff>
    </xdr:from>
    <xdr:to>
      <xdr:col>11</xdr:col>
      <xdr:colOff>591414</xdr:colOff>
      <xdr:row>50</xdr:row>
      <xdr:rowOff>0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E238C037-0290-684E-A0E7-689C12B6926F}"/>
            </a:ext>
          </a:extLst>
        </xdr:cNvPr>
        <xdr:cNvCxnSpPr/>
      </xdr:nvCxnSpPr>
      <xdr:spPr>
        <a:xfrm flipV="1">
          <a:off x="33743990" y="9339146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55035</xdr:colOff>
      <xdr:row>50</xdr:row>
      <xdr:rowOff>2248</xdr:rowOff>
    </xdr:from>
    <xdr:to>
      <xdr:col>11</xdr:col>
      <xdr:colOff>588435</xdr:colOff>
      <xdr:row>53</xdr:row>
      <xdr:rowOff>2248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2C8C6860-17EE-5B49-BEF2-E8300BA1D988}"/>
            </a:ext>
          </a:extLst>
        </xdr:cNvPr>
        <xdr:cNvCxnSpPr/>
      </xdr:nvCxnSpPr>
      <xdr:spPr>
        <a:xfrm>
          <a:off x="33741011" y="9929931"/>
          <a:ext cx="533400" cy="5885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83414</xdr:colOff>
      <xdr:row>25</xdr:row>
      <xdr:rowOff>198966</xdr:rowOff>
    </xdr:from>
    <xdr:to>
      <xdr:col>13</xdr:col>
      <xdr:colOff>616814</xdr:colOff>
      <xdr:row>28</xdr:row>
      <xdr:rowOff>169333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45CF8109-3DB4-D743-8F26-3CD644D454BD}"/>
            </a:ext>
          </a:extLst>
        </xdr:cNvPr>
        <xdr:cNvCxnSpPr/>
      </xdr:nvCxnSpPr>
      <xdr:spPr>
        <a:xfrm flipV="1">
          <a:off x="35596951" y="5142364"/>
          <a:ext cx="533400" cy="57160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80435</xdr:colOff>
      <xdr:row>28</xdr:row>
      <xdr:rowOff>171581</xdr:rowOff>
    </xdr:from>
    <xdr:to>
      <xdr:col>13</xdr:col>
      <xdr:colOff>613835</xdr:colOff>
      <xdr:row>31</xdr:row>
      <xdr:rowOff>184281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DD49F371-3A25-5F44-906E-B96FF077E4A0}"/>
            </a:ext>
          </a:extLst>
        </xdr:cNvPr>
        <xdr:cNvCxnSpPr/>
      </xdr:nvCxnSpPr>
      <xdr:spPr>
        <a:xfrm>
          <a:off x="35593972" y="5716215"/>
          <a:ext cx="533400" cy="60123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83414</xdr:colOff>
      <xdr:row>32</xdr:row>
      <xdr:rowOff>21166</xdr:rowOff>
    </xdr:from>
    <xdr:to>
      <xdr:col>13</xdr:col>
      <xdr:colOff>616814</xdr:colOff>
      <xdr:row>34</xdr:row>
      <xdr:rowOff>232833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A6A86D30-FA84-B646-8011-4315DB7E7CA0}"/>
            </a:ext>
          </a:extLst>
        </xdr:cNvPr>
        <xdr:cNvCxnSpPr/>
      </xdr:nvCxnSpPr>
      <xdr:spPr>
        <a:xfrm flipV="1">
          <a:off x="35596951" y="6355678"/>
          <a:ext cx="533400" cy="588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80435</xdr:colOff>
      <xdr:row>34</xdr:row>
      <xdr:rowOff>235081</xdr:rowOff>
    </xdr:from>
    <xdr:to>
      <xdr:col>13</xdr:col>
      <xdr:colOff>613835</xdr:colOff>
      <xdr:row>37</xdr:row>
      <xdr:rowOff>196981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E2BE7FB0-44B2-D44B-BFDE-FAD98251D1C7}"/>
            </a:ext>
          </a:extLst>
        </xdr:cNvPr>
        <xdr:cNvCxnSpPr/>
      </xdr:nvCxnSpPr>
      <xdr:spPr>
        <a:xfrm>
          <a:off x="35593972" y="6934176"/>
          <a:ext cx="533400" cy="604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58014</xdr:colOff>
      <xdr:row>37</xdr:row>
      <xdr:rowOff>186266</xdr:rowOff>
    </xdr:from>
    <xdr:to>
      <xdr:col>13</xdr:col>
      <xdr:colOff>591414</xdr:colOff>
      <xdr:row>40</xdr:row>
      <xdr:rowOff>194733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DBD0DEDC-C704-144E-A06A-7504A2D58049}"/>
            </a:ext>
          </a:extLst>
        </xdr:cNvPr>
        <xdr:cNvCxnSpPr/>
      </xdr:nvCxnSpPr>
      <xdr:spPr>
        <a:xfrm flipV="1">
          <a:off x="35571551" y="7527486"/>
          <a:ext cx="533400" cy="6124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55035</xdr:colOff>
      <xdr:row>40</xdr:row>
      <xdr:rowOff>196981</xdr:rowOff>
    </xdr:from>
    <xdr:to>
      <xdr:col>13</xdr:col>
      <xdr:colOff>588435</xdr:colOff>
      <xdr:row>43</xdr:row>
      <xdr:rowOff>196981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DBD20C06-B40A-904C-91E1-B1694F0BB9D5}"/>
            </a:ext>
          </a:extLst>
        </xdr:cNvPr>
        <xdr:cNvCxnSpPr/>
      </xdr:nvCxnSpPr>
      <xdr:spPr>
        <a:xfrm>
          <a:off x="35568572" y="8142225"/>
          <a:ext cx="533400" cy="60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45314</xdr:colOff>
      <xdr:row>43</xdr:row>
      <xdr:rowOff>186266</xdr:rowOff>
    </xdr:from>
    <xdr:to>
      <xdr:col>13</xdr:col>
      <xdr:colOff>578714</xdr:colOff>
      <xdr:row>46</xdr:row>
      <xdr:rowOff>194733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94DC1A99-F0BE-3441-BF7B-7CF48F19D44F}"/>
            </a:ext>
          </a:extLst>
        </xdr:cNvPr>
        <xdr:cNvCxnSpPr/>
      </xdr:nvCxnSpPr>
      <xdr:spPr>
        <a:xfrm flipV="1">
          <a:off x="35558851" y="8735534"/>
          <a:ext cx="533400" cy="61249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42335</xdr:colOff>
      <xdr:row>46</xdr:row>
      <xdr:rowOff>196981</xdr:rowOff>
    </xdr:from>
    <xdr:to>
      <xdr:col>13</xdr:col>
      <xdr:colOff>575735</xdr:colOff>
      <xdr:row>50</xdr:row>
      <xdr:rowOff>6481</xdr:rowOff>
    </xdr:to>
    <xdr:cxnSp macro="">
      <xdr:nvCxnSpPr>
        <xdr:cNvPr id="169" name="Straight Arrow Connector 168">
          <a:extLst>
            <a:ext uri="{FF2B5EF4-FFF2-40B4-BE49-F238E27FC236}">
              <a16:creationId xmlns:a16="http://schemas.microsoft.com/office/drawing/2014/main" id="{0F8658C4-3CFE-A648-AC9E-E09080868A69}"/>
            </a:ext>
          </a:extLst>
        </xdr:cNvPr>
        <xdr:cNvCxnSpPr/>
      </xdr:nvCxnSpPr>
      <xdr:spPr>
        <a:xfrm>
          <a:off x="35555872" y="9337574"/>
          <a:ext cx="533400" cy="59659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58014</xdr:colOff>
      <xdr:row>49</xdr:row>
      <xdr:rowOff>173566</xdr:rowOff>
    </xdr:from>
    <xdr:to>
      <xdr:col>13</xdr:col>
      <xdr:colOff>591414</xdr:colOff>
      <xdr:row>53</xdr:row>
      <xdr:rowOff>4233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ADC5BB5A-B54A-5145-A03A-FC1743A00595}"/>
            </a:ext>
          </a:extLst>
        </xdr:cNvPr>
        <xdr:cNvCxnSpPr/>
      </xdr:nvCxnSpPr>
      <xdr:spPr>
        <a:xfrm flipV="1">
          <a:off x="35571551" y="9915395"/>
          <a:ext cx="533400" cy="60505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55035</xdr:colOff>
      <xdr:row>53</xdr:row>
      <xdr:rowOff>6481</xdr:rowOff>
    </xdr:from>
    <xdr:to>
      <xdr:col>13</xdr:col>
      <xdr:colOff>588435</xdr:colOff>
      <xdr:row>56</xdr:row>
      <xdr:rowOff>19181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F3DE2BDB-6DE3-F64C-8C9E-D274E557FAE0}"/>
            </a:ext>
          </a:extLst>
        </xdr:cNvPr>
        <xdr:cNvCxnSpPr/>
      </xdr:nvCxnSpPr>
      <xdr:spPr>
        <a:xfrm>
          <a:off x="35568572" y="10522701"/>
          <a:ext cx="533400" cy="6012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33868</xdr:colOff>
      <xdr:row>38</xdr:row>
      <xdr:rowOff>0</xdr:rowOff>
    </xdr:from>
    <xdr:to>
      <xdr:col>19</xdr:col>
      <xdr:colOff>567268</xdr:colOff>
      <xdr:row>41</xdr:row>
      <xdr:rowOff>0</xdr:rowOff>
    </xdr:to>
    <xdr:cxnSp macro="">
      <xdr:nvCxnSpPr>
        <xdr:cNvPr id="202" name="Straight Arrow Connector 201">
          <a:extLst>
            <a:ext uri="{FF2B5EF4-FFF2-40B4-BE49-F238E27FC236}">
              <a16:creationId xmlns:a16="http://schemas.microsoft.com/office/drawing/2014/main" id="{3D65B98C-26D0-2645-A0FF-CB77DD1433B6}"/>
            </a:ext>
          </a:extLst>
        </xdr:cNvPr>
        <xdr:cNvCxnSpPr/>
      </xdr:nvCxnSpPr>
      <xdr:spPr>
        <a:xfrm flipV="1">
          <a:off x="18846801" y="7603067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30889</xdr:colOff>
      <xdr:row>41</xdr:row>
      <xdr:rowOff>2248</xdr:rowOff>
    </xdr:from>
    <xdr:to>
      <xdr:col>19</xdr:col>
      <xdr:colOff>564289</xdr:colOff>
      <xdr:row>44</xdr:row>
      <xdr:rowOff>2248</xdr:rowOff>
    </xdr:to>
    <xdr:cxnSp macro="">
      <xdr:nvCxnSpPr>
        <xdr:cNvPr id="203" name="Straight Arrow Connector 202">
          <a:extLst>
            <a:ext uri="{FF2B5EF4-FFF2-40B4-BE49-F238E27FC236}">
              <a16:creationId xmlns:a16="http://schemas.microsoft.com/office/drawing/2014/main" id="{8DF6727D-29AD-5E43-9DB7-65F6649C494C}"/>
            </a:ext>
          </a:extLst>
        </xdr:cNvPr>
        <xdr:cNvCxnSpPr/>
      </xdr:nvCxnSpPr>
      <xdr:spPr>
        <a:xfrm>
          <a:off x="18843822" y="8214915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58012</xdr:colOff>
      <xdr:row>35</xdr:row>
      <xdr:rowOff>0</xdr:rowOff>
    </xdr:from>
    <xdr:to>
      <xdr:col>21</xdr:col>
      <xdr:colOff>591412</xdr:colOff>
      <xdr:row>38</xdr:row>
      <xdr:rowOff>1</xdr:rowOff>
    </xdr:to>
    <xdr:cxnSp macro="">
      <xdr:nvCxnSpPr>
        <xdr:cNvPr id="204" name="Straight Arrow Connector 203">
          <a:extLst>
            <a:ext uri="{FF2B5EF4-FFF2-40B4-BE49-F238E27FC236}">
              <a16:creationId xmlns:a16="http://schemas.microsoft.com/office/drawing/2014/main" id="{8257CB8B-854C-B84B-8D74-D3534228945C}"/>
            </a:ext>
          </a:extLst>
        </xdr:cNvPr>
        <xdr:cNvCxnSpPr/>
      </xdr:nvCxnSpPr>
      <xdr:spPr>
        <a:xfrm flipV="1">
          <a:off x="20496545" y="6993467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55033</xdr:colOff>
      <xdr:row>38</xdr:row>
      <xdr:rowOff>2249</xdr:rowOff>
    </xdr:from>
    <xdr:to>
      <xdr:col>21</xdr:col>
      <xdr:colOff>588433</xdr:colOff>
      <xdr:row>41</xdr:row>
      <xdr:rowOff>2248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B84CC8AB-CBB8-544B-9B83-270E40B7A8BC}"/>
            </a:ext>
          </a:extLst>
        </xdr:cNvPr>
        <xdr:cNvCxnSpPr/>
      </xdr:nvCxnSpPr>
      <xdr:spPr>
        <a:xfrm>
          <a:off x="20493566" y="7605316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49546</xdr:colOff>
      <xdr:row>40</xdr:row>
      <xdr:rowOff>194733</xdr:rowOff>
    </xdr:from>
    <xdr:to>
      <xdr:col>21</xdr:col>
      <xdr:colOff>582946</xdr:colOff>
      <xdr:row>44</xdr:row>
      <xdr:rowOff>0</xdr:rowOff>
    </xdr:to>
    <xdr:cxnSp macro="">
      <xdr:nvCxnSpPr>
        <xdr:cNvPr id="206" name="Straight Arrow Connector 205">
          <a:extLst>
            <a:ext uri="{FF2B5EF4-FFF2-40B4-BE49-F238E27FC236}">
              <a16:creationId xmlns:a16="http://schemas.microsoft.com/office/drawing/2014/main" id="{BE84CC62-45DC-FD4B-9303-59CA314D9428}"/>
            </a:ext>
          </a:extLst>
        </xdr:cNvPr>
        <xdr:cNvCxnSpPr/>
      </xdr:nvCxnSpPr>
      <xdr:spPr>
        <a:xfrm flipV="1">
          <a:off x="20488079" y="8204200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46567</xdr:colOff>
      <xdr:row>44</xdr:row>
      <xdr:rowOff>2248</xdr:rowOff>
    </xdr:from>
    <xdr:to>
      <xdr:col>21</xdr:col>
      <xdr:colOff>579967</xdr:colOff>
      <xdr:row>47</xdr:row>
      <xdr:rowOff>2248</xdr:rowOff>
    </xdr:to>
    <xdr:cxnSp macro="">
      <xdr:nvCxnSpPr>
        <xdr:cNvPr id="207" name="Straight Arrow Connector 206">
          <a:extLst>
            <a:ext uri="{FF2B5EF4-FFF2-40B4-BE49-F238E27FC236}">
              <a16:creationId xmlns:a16="http://schemas.microsoft.com/office/drawing/2014/main" id="{78955B42-3111-D543-B8E2-56F5A350FC64}"/>
            </a:ext>
          </a:extLst>
        </xdr:cNvPr>
        <xdr:cNvCxnSpPr/>
      </xdr:nvCxnSpPr>
      <xdr:spPr>
        <a:xfrm>
          <a:off x="20485100" y="8824515"/>
          <a:ext cx="533400" cy="59266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49546</xdr:colOff>
      <xdr:row>31</xdr:row>
      <xdr:rowOff>194733</xdr:rowOff>
    </xdr:from>
    <xdr:to>
      <xdr:col>23</xdr:col>
      <xdr:colOff>582946</xdr:colOff>
      <xdr:row>35</xdr:row>
      <xdr:rowOff>0</xdr:rowOff>
    </xdr:to>
    <xdr:cxnSp macro="">
      <xdr:nvCxnSpPr>
        <xdr:cNvPr id="208" name="Straight Arrow Connector 207">
          <a:extLst>
            <a:ext uri="{FF2B5EF4-FFF2-40B4-BE49-F238E27FC236}">
              <a16:creationId xmlns:a16="http://schemas.microsoft.com/office/drawing/2014/main" id="{66CE28C2-C846-B24E-9D09-9D89D983F1F8}"/>
            </a:ext>
          </a:extLst>
        </xdr:cNvPr>
        <xdr:cNvCxnSpPr/>
      </xdr:nvCxnSpPr>
      <xdr:spPr>
        <a:xfrm flipV="1">
          <a:off x="22096746" y="6375400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46567</xdr:colOff>
      <xdr:row>35</xdr:row>
      <xdr:rowOff>2248</xdr:rowOff>
    </xdr:from>
    <xdr:to>
      <xdr:col>23</xdr:col>
      <xdr:colOff>579967</xdr:colOff>
      <xdr:row>38</xdr:row>
      <xdr:rowOff>2248</xdr:rowOff>
    </xdr:to>
    <xdr:cxnSp macro="">
      <xdr:nvCxnSpPr>
        <xdr:cNvPr id="209" name="Straight Arrow Connector 208">
          <a:extLst>
            <a:ext uri="{FF2B5EF4-FFF2-40B4-BE49-F238E27FC236}">
              <a16:creationId xmlns:a16="http://schemas.microsoft.com/office/drawing/2014/main" id="{0CCFD2ED-D3D4-F147-8C3C-9106338B45F6}"/>
            </a:ext>
          </a:extLst>
        </xdr:cNvPr>
        <xdr:cNvCxnSpPr/>
      </xdr:nvCxnSpPr>
      <xdr:spPr>
        <a:xfrm>
          <a:off x="22093767" y="6995715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49546</xdr:colOff>
      <xdr:row>38</xdr:row>
      <xdr:rowOff>0</xdr:rowOff>
    </xdr:from>
    <xdr:to>
      <xdr:col>23</xdr:col>
      <xdr:colOff>582946</xdr:colOff>
      <xdr:row>41</xdr:row>
      <xdr:rowOff>0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80934069-8F5E-3043-B40F-41EB46674139}"/>
            </a:ext>
          </a:extLst>
        </xdr:cNvPr>
        <xdr:cNvCxnSpPr/>
      </xdr:nvCxnSpPr>
      <xdr:spPr>
        <a:xfrm flipV="1">
          <a:off x="22096746" y="7603067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46567</xdr:colOff>
      <xdr:row>41</xdr:row>
      <xdr:rowOff>2248</xdr:rowOff>
    </xdr:from>
    <xdr:to>
      <xdr:col>23</xdr:col>
      <xdr:colOff>579967</xdr:colOff>
      <xdr:row>44</xdr:row>
      <xdr:rowOff>2248</xdr:rowOff>
    </xdr:to>
    <xdr:cxnSp macro="">
      <xdr:nvCxnSpPr>
        <xdr:cNvPr id="211" name="Straight Arrow Connector 210">
          <a:extLst>
            <a:ext uri="{FF2B5EF4-FFF2-40B4-BE49-F238E27FC236}">
              <a16:creationId xmlns:a16="http://schemas.microsoft.com/office/drawing/2014/main" id="{0DC6C7BC-4E26-6540-B919-C7DE3C6A94FE}"/>
            </a:ext>
          </a:extLst>
        </xdr:cNvPr>
        <xdr:cNvCxnSpPr/>
      </xdr:nvCxnSpPr>
      <xdr:spPr>
        <a:xfrm>
          <a:off x="22093767" y="8214915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41080</xdr:colOff>
      <xdr:row>44</xdr:row>
      <xdr:rowOff>0</xdr:rowOff>
    </xdr:from>
    <xdr:to>
      <xdr:col>23</xdr:col>
      <xdr:colOff>574480</xdr:colOff>
      <xdr:row>47</xdr:row>
      <xdr:rowOff>1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F25B8FE1-DAB5-C949-A9E7-272BF84473B4}"/>
            </a:ext>
          </a:extLst>
        </xdr:cNvPr>
        <xdr:cNvCxnSpPr/>
      </xdr:nvCxnSpPr>
      <xdr:spPr>
        <a:xfrm flipV="1">
          <a:off x="22088280" y="8822267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38101</xdr:colOff>
      <xdr:row>47</xdr:row>
      <xdr:rowOff>2249</xdr:rowOff>
    </xdr:from>
    <xdr:to>
      <xdr:col>23</xdr:col>
      <xdr:colOff>571501</xdr:colOff>
      <xdr:row>50</xdr:row>
      <xdr:rowOff>2248</xdr:rowOff>
    </xdr:to>
    <xdr:cxnSp macro="">
      <xdr:nvCxnSpPr>
        <xdr:cNvPr id="213" name="Straight Arrow Connector 212">
          <a:extLst>
            <a:ext uri="{FF2B5EF4-FFF2-40B4-BE49-F238E27FC236}">
              <a16:creationId xmlns:a16="http://schemas.microsoft.com/office/drawing/2014/main" id="{25B1CB21-F527-874F-9121-AD8F311E9885}"/>
            </a:ext>
          </a:extLst>
        </xdr:cNvPr>
        <xdr:cNvCxnSpPr/>
      </xdr:nvCxnSpPr>
      <xdr:spPr>
        <a:xfrm>
          <a:off x="22085301" y="9417182"/>
          <a:ext cx="533400" cy="59266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41080</xdr:colOff>
      <xdr:row>29</xdr:row>
      <xdr:rowOff>0</xdr:rowOff>
    </xdr:from>
    <xdr:to>
      <xdr:col>25</xdr:col>
      <xdr:colOff>574480</xdr:colOff>
      <xdr:row>32</xdr:row>
      <xdr:rowOff>0</xdr:rowOff>
    </xdr:to>
    <xdr:cxnSp macro="">
      <xdr:nvCxnSpPr>
        <xdr:cNvPr id="214" name="Straight Arrow Connector 213">
          <a:extLst>
            <a:ext uri="{FF2B5EF4-FFF2-40B4-BE49-F238E27FC236}">
              <a16:creationId xmlns:a16="http://schemas.microsoft.com/office/drawing/2014/main" id="{06A78267-9E4E-1A48-A7E2-EA243EAF19DA}"/>
            </a:ext>
          </a:extLst>
        </xdr:cNvPr>
        <xdr:cNvCxnSpPr/>
      </xdr:nvCxnSpPr>
      <xdr:spPr>
        <a:xfrm flipV="1">
          <a:off x="23798547" y="5791200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38101</xdr:colOff>
      <xdr:row>32</xdr:row>
      <xdr:rowOff>2248</xdr:rowOff>
    </xdr:from>
    <xdr:to>
      <xdr:col>25</xdr:col>
      <xdr:colOff>571501</xdr:colOff>
      <xdr:row>35</xdr:row>
      <xdr:rowOff>2248</xdr:rowOff>
    </xdr:to>
    <xdr:cxnSp macro="">
      <xdr:nvCxnSpPr>
        <xdr:cNvPr id="215" name="Straight Arrow Connector 214">
          <a:extLst>
            <a:ext uri="{FF2B5EF4-FFF2-40B4-BE49-F238E27FC236}">
              <a16:creationId xmlns:a16="http://schemas.microsoft.com/office/drawing/2014/main" id="{1DEA1C0E-91E0-6044-AB2C-9D0C5AB33027}"/>
            </a:ext>
          </a:extLst>
        </xdr:cNvPr>
        <xdr:cNvCxnSpPr/>
      </xdr:nvCxnSpPr>
      <xdr:spPr>
        <a:xfrm>
          <a:off x="23795568" y="6386115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49547</xdr:colOff>
      <xdr:row>35</xdr:row>
      <xdr:rowOff>0</xdr:rowOff>
    </xdr:from>
    <xdr:to>
      <xdr:col>25</xdr:col>
      <xdr:colOff>582947</xdr:colOff>
      <xdr:row>38</xdr:row>
      <xdr:rowOff>1</xdr:rowOff>
    </xdr:to>
    <xdr:cxnSp macro="">
      <xdr:nvCxnSpPr>
        <xdr:cNvPr id="216" name="Straight Arrow Connector 215">
          <a:extLst>
            <a:ext uri="{FF2B5EF4-FFF2-40B4-BE49-F238E27FC236}">
              <a16:creationId xmlns:a16="http://schemas.microsoft.com/office/drawing/2014/main" id="{85BF5D87-BB2D-474B-A6CA-EF2807F84250}"/>
            </a:ext>
          </a:extLst>
        </xdr:cNvPr>
        <xdr:cNvCxnSpPr/>
      </xdr:nvCxnSpPr>
      <xdr:spPr>
        <a:xfrm flipV="1">
          <a:off x="23807014" y="6993467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46568</xdr:colOff>
      <xdr:row>38</xdr:row>
      <xdr:rowOff>2249</xdr:rowOff>
    </xdr:from>
    <xdr:to>
      <xdr:col>25</xdr:col>
      <xdr:colOff>579968</xdr:colOff>
      <xdr:row>41</xdr:row>
      <xdr:rowOff>2248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B63D2B98-6BCD-3C48-A737-56A1F227C6FA}"/>
            </a:ext>
          </a:extLst>
        </xdr:cNvPr>
        <xdr:cNvCxnSpPr/>
      </xdr:nvCxnSpPr>
      <xdr:spPr>
        <a:xfrm>
          <a:off x="23804035" y="7605316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49547</xdr:colOff>
      <xdr:row>40</xdr:row>
      <xdr:rowOff>194733</xdr:rowOff>
    </xdr:from>
    <xdr:to>
      <xdr:col>25</xdr:col>
      <xdr:colOff>582947</xdr:colOff>
      <xdr:row>44</xdr:row>
      <xdr:rowOff>0</xdr:rowOff>
    </xdr:to>
    <xdr:cxnSp macro="">
      <xdr:nvCxnSpPr>
        <xdr:cNvPr id="218" name="Straight Arrow Connector 217">
          <a:extLst>
            <a:ext uri="{FF2B5EF4-FFF2-40B4-BE49-F238E27FC236}">
              <a16:creationId xmlns:a16="http://schemas.microsoft.com/office/drawing/2014/main" id="{B55FBA6B-06CE-EC40-B198-48C12BF14212}"/>
            </a:ext>
          </a:extLst>
        </xdr:cNvPr>
        <xdr:cNvCxnSpPr/>
      </xdr:nvCxnSpPr>
      <xdr:spPr>
        <a:xfrm flipV="1">
          <a:off x="23807014" y="8204200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46568</xdr:colOff>
      <xdr:row>44</xdr:row>
      <xdr:rowOff>2248</xdr:rowOff>
    </xdr:from>
    <xdr:to>
      <xdr:col>25</xdr:col>
      <xdr:colOff>579968</xdr:colOff>
      <xdr:row>47</xdr:row>
      <xdr:rowOff>2248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A5F513A4-2928-3A4D-9E0B-E2872347DFB3}"/>
            </a:ext>
          </a:extLst>
        </xdr:cNvPr>
        <xdr:cNvCxnSpPr/>
      </xdr:nvCxnSpPr>
      <xdr:spPr>
        <a:xfrm>
          <a:off x="23804035" y="8824515"/>
          <a:ext cx="533400" cy="59266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58014</xdr:colOff>
      <xdr:row>47</xdr:row>
      <xdr:rowOff>0</xdr:rowOff>
    </xdr:from>
    <xdr:to>
      <xdr:col>25</xdr:col>
      <xdr:colOff>591414</xdr:colOff>
      <xdr:row>50</xdr:row>
      <xdr:rowOff>0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B1AAF7D7-44B1-474A-8561-83F062498B14}"/>
            </a:ext>
          </a:extLst>
        </xdr:cNvPr>
        <xdr:cNvCxnSpPr/>
      </xdr:nvCxnSpPr>
      <xdr:spPr>
        <a:xfrm flipV="1">
          <a:off x="23815481" y="9414933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55035</xdr:colOff>
      <xdr:row>50</xdr:row>
      <xdr:rowOff>2248</xdr:rowOff>
    </xdr:from>
    <xdr:to>
      <xdr:col>25</xdr:col>
      <xdr:colOff>588435</xdr:colOff>
      <xdr:row>53</xdr:row>
      <xdr:rowOff>2248</xdr:rowOff>
    </xdr:to>
    <xdr:cxnSp macro="">
      <xdr:nvCxnSpPr>
        <xdr:cNvPr id="221" name="Straight Arrow Connector 220">
          <a:extLst>
            <a:ext uri="{FF2B5EF4-FFF2-40B4-BE49-F238E27FC236}">
              <a16:creationId xmlns:a16="http://schemas.microsoft.com/office/drawing/2014/main" id="{BC606AB0-D29B-0641-8707-198D31F93FED}"/>
            </a:ext>
          </a:extLst>
        </xdr:cNvPr>
        <xdr:cNvCxnSpPr/>
      </xdr:nvCxnSpPr>
      <xdr:spPr>
        <a:xfrm>
          <a:off x="23812502" y="10009848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83414</xdr:colOff>
      <xdr:row>25</xdr:row>
      <xdr:rowOff>198966</xdr:rowOff>
    </xdr:from>
    <xdr:to>
      <xdr:col>27</xdr:col>
      <xdr:colOff>616814</xdr:colOff>
      <xdr:row>28</xdr:row>
      <xdr:rowOff>169333</xdr:rowOff>
    </xdr:to>
    <xdr:cxnSp macro="">
      <xdr:nvCxnSpPr>
        <xdr:cNvPr id="222" name="Straight Arrow Connector 221">
          <a:extLst>
            <a:ext uri="{FF2B5EF4-FFF2-40B4-BE49-F238E27FC236}">
              <a16:creationId xmlns:a16="http://schemas.microsoft.com/office/drawing/2014/main" id="{2DB66DC0-1E46-1042-811C-2CB1C09781E1}"/>
            </a:ext>
          </a:extLst>
        </xdr:cNvPr>
        <xdr:cNvCxnSpPr/>
      </xdr:nvCxnSpPr>
      <xdr:spPr>
        <a:xfrm flipV="1">
          <a:off x="25500347" y="5181599"/>
          <a:ext cx="533400" cy="57573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80435</xdr:colOff>
      <xdr:row>28</xdr:row>
      <xdr:rowOff>171581</xdr:rowOff>
    </xdr:from>
    <xdr:to>
      <xdr:col>27</xdr:col>
      <xdr:colOff>613835</xdr:colOff>
      <xdr:row>31</xdr:row>
      <xdr:rowOff>184281</xdr:rowOff>
    </xdr:to>
    <xdr:cxnSp macro="">
      <xdr:nvCxnSpPr>
        <xdr:cNvPr id="223" name="Straight Arrow Connector 222">
          <a:extLst>
            <a:ext uri="{FF2B5EF4-FFF2-40B4-BE49-F238E27FC236}">
              <a16:creationId xmlns:a16="http://schemas.microsoft.com/office/drawing/2014/main" id="{A25812FA-D194-AB46-9DED-84D5C4E4CFAB}"/>
            </a:ext>
          </a:extLst>
        </xdr:cNvPr>
        <xdr:cNvCxnSpPr/>
      </xdr:nvCxnSpPr>
      <xdr:spPr>
        <a:xfrm>
          <a:off x="25497368" y="5759581"/>
          <a:ext cx="533400" cy="6053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83414</xdr:colOff>
      <xdr:row>32</xdr:row>
      <xdr:rowOff>21166</xdr:rowOff>
    </xdr:from>
    <xdr:to>
      <xdr:col>27</xdr:col>
      <xdr:colOff>616814</xdr:colOff>
      <xdr:row>34</xdr:row>
      <xdr:rowOff>232833</xdr:rowOff>
    </xdr:to>
    <xdr:cxnSp macro="">
      <xdr:nvCxnSpPr>
        <xdr:cNvPr id="224" name="Straight Arrow Connector 223">
          <a:extLst>
            <a:ext uri="{FF2B5EF4-FFF2-40B4-BE49-F238E27FC236}">
              <a16:creationId xmlns:a16="http://schemas.microsoft.com/office/drawing/2014/main" id="{D0AD3DEF-FDE8-A940-AEC2-E93E8AA477FE}"/>
            </a:ext>
          </a:extLst>
        </xdr:cNvPr>
        <xdr:cNvCxnSpPr/>
      </xdr:nvCxnSpPr>
      <xdr:spPr>
        <a:xfrm flipV="1">
          <a:off x="25500347" y="6405033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80435</xdr:colOff>
      <xdr:row>34</xdr:row>
      <xdr:rowOff>235081</xdr:rowOff>
    </xdr:from>
    <xdr:to>
      <xdr:col>27</xdr:col>
      <xdr:colOff>613835</xdr:colOff>
      <xdr:row>37</xdr:row>
      <xdr:rowOff>196981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EBF7A64D-7ED4-8045-B43F-28BB0E8B6EFA}"/>
            </a:ext>
          </a:extLst>
        </xdr:cNvPr>
        <xdr:cNvCxnSpPr/>
      </xdr:nvCxnSpPr>
      <xdr:spPr>
        <a:xfrm>
          <a:off x="25497368" y="69872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58014</xdr:colOff>
      <xdr:row>37</xdr:row>
      <xdr:rowOff>186266</xdr:rowOff>
    </xdr:from>
    <xdr:to>
      <xdr:col>27</xdr:col>
      <xdr:colOff>591414</xdr:colOff>
      <xdr:row>40</xdr:row>
      <xdr:rowOff>194733</xdr:rowOff>
    </xdr:to>
    <xdr:cxnSp macro="">
      <xdr:nvCxnSpPr>
        <xdr:cNvPr id="226" name="Straight Arrow Connector 225">
          <a:extLst>
            <a:ext uri="{FF2B5EF4-FFF2-40B4-BE49-F238E27FC236}">
              <a16:creationId xmlns:a16="http://schemas.microsoft.com/office/drawing/2014/main" id="{B4C9E10E-5DBB-E544-B990-9A250866040F}"/>
            </a:ext>
          </a:extLst>
        </xdr:cNvPr>
        <xdr:cNvCxnSpPr/>
      </xdr:nvCxnSpPr>
      <xdr:spPr>
        <a:xfrm flipV="1">
          <a:off x="25474947" y="75861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55035</xdr:colOff>
      <xdr:row>40</xdr:row>
      <xdr:rowOff>196981</xdr:rowOff>
    </xdr:from>
    <xdr:to>
      <xdr:col>27</xdr:col>
      <xdr:colOff>588435</xdr:colOff>
      <xdr:row>43</xdr:row>
      <xdr:rowOff>196981</xdr:rowOff>
    </xdr:to>
    <xdr:cxnSp macro="">
      <xdr:nvCxnSpPr>
        <xdr:cNvPr id="227" name="Straight Arrow Connector 226">
          <a:extLst>
            <a:ext uri="{FF2B5EF4-FFF2-40B4-BE49-F238E27FC236}">
              <a16:creationId xmlns:a16="http://schemas.microsoft.com/office/drawing/2014/main" id="{9EF73931-EA5E-324F-ACB1-B8A3C2BEF1AA}"/>
            </a:ext>
          </a:extLst>
        </xdr:cNvPr>
        <xdr:cNvCxnSpPr/>
      </xdr:nvCxnSpPr>
      <xdr:spPr>
        <a:xfrm>
          <a:off x="25471968" y="82064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45314</xdr:colOff>
      <xdr:row>43</xdr:row>
      <xdr:rowOff>186266</xdr:rowOff>
    </xdr:from>
    <xdr:to>
      <xdr:col>27</xdr:col>
      <xdr:colOff>578714</xdr:colOff>
      <xdr:row>46</xdr:row>
      <xdr:rowOff>194733</xdr:rowOff>
    </xdr:to>
    <xdr:cxnSp macro="">
      <xdr:nvCxnSpPr>
        <xdr:cNvPr id="228" name="Straight Arrow Connector 227">
          <a:extLst>
            <a:ext uri="{FF2B5EF4-FFF2-40B4-BE49-F238E27FC236}">
              <a16:creationId xmlns:a16="http://schemas.microsoft.com/office/drawing/2014/main" id="{E2B254BD-6E7E-6148-B3F9-2C5726E1A7D9}"/>
            </a:ext>
          </a:extLst>
        </xdr:cNvPr>
        <xdr:cNvCxnSpPr/>
      </xdr:nvCxnSpPr>
      <xdr:spPr>
        <a:xfrm flipV="1">
          <a:off x="25462247" y="88053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42335</xdr:colOff>
      <xdr:row>46</xdr:row>
      <xdr:rowOff>196981</xdr:rowOff>
    </xdr:from>
    <xdr:to>
      <xdr:col>27</xdr:col>
      <xdr:colOff>575735</xdr:colOff>
      <xdr:row>50</xdr:row>
      <xdr:rowOff>6481</xdr:rowOff>
    </xdr:to>
    <xdr:cxnSp macro="">
      <xdr:nvCxnSpPr>
        <xdr:cNvPr id="229" name="Straight Arrow Connector 228">
          <a:extLst>
            <a:ext uri="{FF2B5EF4-FFF2-40B4-BE49-F238E27FC236}">
              <a16:creationId xmlns:a16="http://schemas.microsoft.com/office/drawing/2014/main" id="{D996D6F4-3F02-3A40-A27A-6B0F1B6DB593}"/>
            </a:ext>
          </a:extLst>
        </xdr:cNvPr>
        <xdr:cNvCxnSpPr/>
      </xdr:nvCxnSpPr>
      <xdr:spPr>
        <a:xfrm>
          <a:off x="25459268" y="9412948"/>
          <a:ext cx="533400" cy="6011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58014</xdr:colOff>
      <xdr:row>49</xdr:row>
      <xdr:rowOff>173566</xdr:rowOff>
    </xdr:from>
    <xdr:to>
      <xdr:col>27</xdr:col>
      <xdr:colOff>591414</xdr:colOff>
      <xdr:row>53</xdr:row>
      <xdr:rowOff>4233</xdr:rowOff>
    </xdr:to>
    <xdr:cxnSp macro="">
      <xdr:nvCxnSpPr>
        <xdr:cNvPr id="230" name="Straight Arrow Connector 229">
          <a:extLst>
            <a:ext uri="{FF2B5EF4-FFF2-40B4-BE49-F238E27FC236}">
              <a16:creationId xmlns:a16="http://schemas.microsoft.com/office/drawing/2014/main" id="{3B15E60E-34A9-7A45-9AF5-986D219750CE}"/>
            </a:ext>
          </a:extLst>
        </xdr:cNvPr>
        <xdr:cNvCxnSpPr/>
      </xdr:nvCxnSpPr>
      <xdr:spPr>
        <a:xfrm flipV="1">
          <a:off x="25474947" y="9994899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55035</xdr:colOff>
      <xdr:row>53</xdr:row>
      <xdr:rowOff>6481</xdr:rowOff>
    </xdr:from>
    <xdr:to>
      <xdr:col>27</xdr:col>
      <xdr:colOff>588435</xdr:colOff>
      <xdr:row>56</xdr:row>
      <xdr:rowOff>19181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43982D75-5B33-A142-A016-5B5517513E02}"/>
            </a:ext>
          </a:extLst>
        </xdr:cNvPr>
        <xdr:cNvCxnSpPr/>
      </xdr:nvCxnSpPr>
      <xdr:spPr>
        <a:xfrm>
          <a:off x="25471968" y="10606748"/>
          <a:ext cx="533400" cy="60536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29584</xdr:colOff>
      <xdr:row>32</xdr:row>
      <xdr:rowOff>67733</xdr:rowOff>
    </xdr:from>
    <xdr:to>
      <xdr:col>33</xdr:col>
      <xdr:colOff>685800</xdr:colOff>
      <xdr:row>34</xdr:row>
      <xdr:rowOff>113876</xdr:rowOff>
    </xdr:to>
    <xdr:cxnSp macro="">
      <xdr:nvCxnSpPr>
        <xdr:cNvPr id="232" name="Straight Arrow Connector 231">
          <a:extLst>
            <a:ext uri="{FF2B5EF4-FFF2-40B4-BE49-F238E27FC236}">
              <a16:creationId xmlns:a16="http://schemas.microsoft.com/office/drawing/2014/main" id="{4FF0AC85-641D-3D4A-963F-2A6372EE9F33}"/>
            </a:ext>
          </a:extLst>
        </xdr:cNvPr>
        <xdr:cNvCxnSpPr/>
      </xdr:nvCxnSpPr>
      <xdr:spPr>
        <a:xfrm flipV="1">
          <a:off x="29956519" y="13894346"/>
          <a:ext cx="414916" cy="4558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38050</xdr:colOff>
      <xdr:row>34</xdr:row>
      <xdr:rowOff>118533</xdr:rowOff>
    </xdr:from>
    <xdr:to>
      <xdr:col>33</xdr:col>
      <xdr:colOff>694266</xdr:colOff>
      <xdr:row>36</xdr:row>
      <xdr:rowOff>164676</xdr:rowOff>
    </xdr:to>
    <xdr:cxnSp macro="">
      <xdr:nvCxnSpPr>
        <xdr:cNvPr id="233" name="Straight Arrow Connector 232">
          <a:extLst>
            <a:ext uri="{FF2B5EF4-FFF2-40B4-BE49-F238E27FC236}">
              <a16:creationId xmlns:a16="http://schemas.microsoft.com/office/drawing/2014/main" id="{E494676F-DF4E-D644-8DEB-F63FFF500F22}"/>
            </a:ext>
          </a:extLst>
        </xdr:cNvPr>
        <xdr:cNvCxnSpPr/>
      </xdr:nvCxnSpPr>
      <xdr:spPr>
        <a:xfrm>
          <a:off x="29964985" y="14354823"/>
          <a:ext cx="402216" cy="45582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76200</xdr:colOff>
      <xdr:row>30</xdr:row>
      <xdr:rowOff>59268</xdr:rowOff>
    </xdr:from>
    <xdr:to>
      <xdr:col>35</xdr:col>
      <xdr:colOff>711200</xdr:colOff>
      <xdr:row>32</xdr:row>
      <xdr:rowOff>84667</xdr:rowOff>
    </xdr:to>
    <xdr:cxnSp macro="">
      <xdr:nvCxnSpPr>
        <xdr:cNvPr id="234" name="Straight Arrow Connector 233">
          <a:extLst>
            <a:ext uri="{FF2B5EF4-FFF2-40B4-BE49-F238E27FC236}">
              <a16:creationId xmlns:a16="http://schemas.microsoft.com/office/drawing/2014/main" id="{95C52459-4AEE-B244-AABF-9849484944A2}"/>
            </a:ext>
          </a:extLst>
        </xdr:cNvPr>
        <xdr:cNvCxnSpPr/>
      </xdr:nvCxnSpPr>
      <xdr:spPr>
        <a:xfrm flipV="1">
          <a:off x="31047813" y="13476203"/>
          <a:ext cx="482600" cy="43507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32</xdr:row>
      <xdr:rowOff>101600</xdr:rowOff>
    </xdr:from>
    <xdr:to>
      <xdr:col>35</xdr:col>
      <xdr:colOff>702733</xdr:colOff>
      <xdr:row>34</xdr:row>
      <xdr:rowOff>63075</xdr:rowOff>
    </xdr:to>
    <xdr:cxnSp macro="">
      <xdr:nvCxnSpPr>
        <xdr:cNvPr id="235" name="Straight Arrow Connector 234">
          <a:extLst>
            <a:ext uri="{FF2B5EF4-FFF2-40B4-BE49-F238E27FC236}">
              <a16:creationId xmlns:a16="http://schemas.microsoft.com/office/drawing/2014/main" id="{CD901F99-7C43-A049-8F6B-D18ADD6E63D4}"/>
            </a:ext>
          </a:extLst>
        </xdr:cNvPr>
        <xdr:cNvCxnSpPr/>
      </xdr:nvCxnSpPr>
      <xdr:spPr>
        <a:xfrm>
          <a:off x="31039347" y="13928213"/>
          <a:ext cx="495299" cy="37115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38051</xdr:colOff>
      <xdr:row>34</xdr:row>
      <xdr:rowOff>110067</xdr:rowOff>
    </xdr:from>
    <xdr:to>
      <xdr:col>35</xdr:col>
      <xdr:colOff>702734</xdr:colOff>
      <xdr:row>36</xdr:row>
      <xdr:rowOff>113877</xdr:rowOff>
    </xdr:to>
    <xdr:cxnSp macro="">
      <xdr:nvCxnSpPr>
        <xdr:cNvPr id="236" name="Straight Arrow Connector 235">
          <a:extLst>
            <a:ext uri="{FF2B5EF4-FFF2-40B4-BE49-F238E27FC236}">
              <a16:creationId xmlns:a16="http://schemas.microsoft.com/office/drawing/2014/main" id="{2A163192-C011-E744-8F92-40A28868B27B}"/>
            </a:ext>
          </a:extLst>
        </xdr:cNvPr>
        <xdr:cNvCxnSpPr/>
      </xdr:nvCxnSpPr>
      <xdr:spPr>
        <a:xfrm flipV="1">
          <a:off x="31009664" y="14346357"/>
          <a:ext cx="524983" cy="4134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46517</xdr:colOff>
      <xdr:row>36</xdr:row>
      <xdr:rowOff>118533</xdr:rowOff>
    </xdr:from>
    <xdr:to>
      <xdr:col>35</xdr:col>
      <xdr:colOff>711200</xdr:colOff>
      <xdr:row>38</xdr:row>
      <xdr:rowOff>127000</xdr:rowOff>
    </xdr:to>
    <xdr:cxnSp macro="">
      <xdr:nvCxnSpPr>
        <xdr:cNvPr id="237" name="Straight Arrow Connector 236">
          <a:extLst>
            <a:ext uri="{FF2B5EF4-FFF2-40B4-BE49-F238E27FC236}">
              <a16:creationId xmlns:a16="http://schemas.microsoft.com/office/drawing/2014/main" id="{B4A3BE48-92DA-3A42-8205-F5F60A3719D9}"/>
            </a:ext>
          </a:extLst>
        </xdr:cNvPr>
        <xdr:cNvCxnSpPr/>
      </xdr:nvCxnSpPr>
      <xdr:spPr>
        <a:xfrm>
          <a:off x="31018130" y="14764501"/>
          <a:ext cx="512283" cy="41814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33866</xdr:colOff>
      <xdr:row>28</xdr:row>
      <xdr:rowOff>50800</xdr:rowOff>
    </xdr:from>
    <xdr:to>
      <xdr:col>37</xdr:col>
      <xdr:colOff>690082</xdr:colOff>
      <xdr:row>30</xdr:row>
      <xdr:rowOff>96943</xdr:rowOff>
    </xdr:to>
    <xdr:cxnSp macro="">
      <xdr:nvCxnSpPr>
        <xdr:cNvPr id="238" name="Straight Arrow Connector 237">
          <a:extLst>
            <a:ext uri="{FF2B5EF4-FFF2-40B4-BE49-F238E27FC236}">
              <a16:creationId xmlns:a16="http://schemas.microsoft.com/office/drawing/2014/main" id="{6B40B76C-6682-DB42-90B0-8D30EDC6B1DB}"/>
            </a:ext>
          </a:extLst>
        </xdr:cNvPr>
        <xdr:cNvCxnSpPr/>
      </xdr:nvCxnSpPr>
      <xdr:spPr>
        <a:xfrm flipV="1">
          <a:off x="32173060" y="13058058"/>
          <a:ext cx="516516" cy="4558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42332</xdr:colOff>
      <xdr:row>30</xdr:row>
      <xdr:rowOff>101600</xdr:rowOff>
    </xdr:from>
    <xdr:to>
      <xdr:col>37</xdr:col>
      <xdr:colOff>702734</xdr:colOff>
      <xdr:row>32</xdr:row>
      <xdr:rowOff>118533</xdr:rowOff>
    </xdr:to>
    <xdr:cxnSp macro="">
      <xdr:nvCxnSpPr>
        <xdr:cNvPr id="239" name="Straight Arrow Connector 238">
          <a:extLst>
            <a:ext uri="{FF2B5EF4-FFF2-40B4-BE49-F238E27FC236}">
              <a16:creationId xmlns:a16="http://schemas.microsoft.com/office/drawing/2014/main" id="{2DEBC787-4DEA-B145-B0BB-372CD09A7C8B}"/>
            </a:ext>
          </a:extLst>
        </xdr:cNvPr>
        <xdr:cNvCxnSpPr/>
      </xdr:nvCxnSpPr>
      <xdr:spPr>
        <a:xfrm>
          <a:off x="32181526" y="13518535"/>
          <a:ext cx="508002" cy="42661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50800</xdr:colOff>
      <xdr:row>32</xdr:row>
      <xdr:rowOff>160868</xdr:rowOff>
    </xdr:from>
    <xdr:to>
      <xdr:col>37</xdr:col>
      <xdr:colOff>690082</xdr:colOff>
      <xdr:row>34</xdr:row>
      <xdr:rowOff>110067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19A3DA7E-2032-C44D-A78F-E29A2FF81B2E}"/>
            </a:ext>
          </a:extLst>
        </xdr:cNvPr>
        <xdr:cNvCxnSpPr/>
      </xdr:nvCxnSpPr>
      <xdr:spPr>
        <a:xfrm flipV="1">
          <a:off x="32189994" y="13987481"/>
          <a:ext cx="499582" cy="3588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67734</xdr:colOff>
      <xdr:row>34</xdr:row>
      <xdr:rowOff>118533</xdr:rowOff>
    </xdr:from>
    <xdr:to>
      <xdr:col>37</xdr:col>
      <xdr:colOff>698548</xdr:colOff>
      <xdr:row>36</xdr:row>
      <xdr:rowOff>130805</xdr:rowOff>
    </xdr:to>
    <xdr:cxnSp macro="">
      <xdr:nvCxnSpPr>
        <xdr:cNvPr id="241" name="Straight Arrow Connector 240">
          <a:extLst>
            <a:ext uri="{FF2B5EF4-FFF2-40B4-BE49-F238E27FC236}">
              <a16:creationId xmlns:a16="http://schemas.microsoft.com/office/drawing/2014/main" id="{BD562256-2414-7244-A796-504F84E01437}"/>
            </a:ext>
          </a:extLst>
        </xdr:cNvPr>
        <xdr:cNvCxnSpPr/>
      </xdr:nvCxnSpPr>
      <xdr:spPr>
        <a:xfrm>
          <a:off x="32206928" y="14354823"/>
          <a:ext cx="478414" cy="421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59267</xdr:colOff>
      <xdr:row>36</xdr:row>
      <xdr:rowOff>152401</xdr:rowOff>
    </xdr:from>
    <xdr:to>
      <xdr:col>37</xdr:col>
      <xdr:colOff>707015</xdr:colOff>
      <xdr:row>38</xdr:row>
      <xdr:rowOff>118533</xdr:rowOff>
    </xdr:to>
    <xdr:cxnSp macro="">
      <xdr:nvCxnSpPr>
        <xdr:cNvPr id="242" name="Straight Arrow Connector 241">
          <a:extLst>
            <a:ext uri="{FF2B5EF4-FFF2-40B4-BE49-F238E27FC236}">
              <a16:creationId xmlns:a16="http://schemas.microsoft.com/office/drawing/2014/main" id="{9B4C81A5-8261-924A-80B1-CE49FDA16E52}"/>
            </a:ext>
          </a:extLst>
        </xdr:cNvPr>
        <xdr:cNvCxnSpPr/>
      </xdr:nvCxnSpPr>
      <xdr:spPr>
        <a:xfrm flipV="1">
          <a:off x="32198461" y="14798369"/>
          <a:ext cx="482648" cy="3758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76200</xdr:colOff>
      <xdr:row>38</xdr:row>
      <xdr:rowOff>127000</xdr:rowOff>
    </xdr:from>
    <xdr:to>
      <xdr:col>37</xdr:col>
      <xdr:colOff>690081</xdr:colOff>
      <xdr:row>40</xdr:row>
      <xdr:rowOff>156209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17EC4169-75B6-574F-9E9E-46C0D482DAFB}"/>
            </a:ext>
          </a:extLst>
        </xdr:cNvPr>
        <xdr:cNvCxnSpPr/>
      </xdr:nvCxnSpPr>
      <xdr:spPr>
        <a:xfrm>
          <a:off x="32215394" y="15182645"/>
          <a:ext cx="474181" cy="43888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17220</xdr:colOff>
      <xdr:row>26</xdr:row>
      <xdr:rowOff>27551</xdr:rowOff>
    </xdr:from>
    <xdr:to>
      <xdr:col>39</xdr:col>
      <xdr:colOff>673436</xdr:colOff>
      <xdr:row>28</xdr:row>
      <xdr:rowOff>73694</xdr:rowOff>
    </xdr:to>
    <xdr:cxnSp macro="">
      <xdr:nvCxnSpPr>
        <xdr:cNvPr id="244" name="Straight Arrow Connector 243">
          <a:extLst>
            <a:ext uri="{FF2B5EF4-FFF2-40B4-BE49-F238E27FC236}">
              <a16:creationId xmlns:a16="http://schemas.microsoft.com/office/drawing/2014/main" id="{789001DF-4084-1848-B0D3-B6D6C379DC79}"/>
            </a:ext>
          </a:extLst>
        </xdr:cNvPr>
        <xdr:cNvCxnSpPr/>
      </xdr:nvCxnSpPr>
      <xdr:spPr>
        <a:xfrm flipV="1">
          <a:off x="33323994" y="12625132"/>
          <a:ext cx="529216" cy="4558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25686</xdr:colOff>
      <xdr:row>28</xdr:row>
      <xdr:rowOff>78351</xdr:rowOff>
    </xdr:from>
    <xdr:to>
      <xdr:col>39</xdr:col>
      <xdr:colOff>688814</xdr:colOff>
      <xdr:row>30</xdr:row>
      <xdr:rowOff>64576</xdr:rowOff>
    </xdr:to>
    <xdr:cxnSp macro="">
      <xdr:nvCxnSpPr>
        <xdr:cNvPr id="245" name="Straight Arrow Connector 244">
          <a:extLst>
            <a:ext uri="{FF2B5EF4-FFF2-40B4-BE49-F238E27FC236}">
              <a16:creationId xmlns:a16="http://schemas.microsoft.com/office/drawing/2014/main" id="{ED4D1239-AF7D-D243-A137-D10474D0A5AA}"/>
            </a:ext>
          </a:extLst>
        </xdr:cNvPr>
        <xdr:cNvCxnSpPr/>
      </xdr:nvCxnSpPr>
      <xdr:spPr>
        <a:xfrm>
          <a:off x="33332460" y="13085609"/>
          <a:ext cx="523428" cy="39590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29705</xdr:colOff>
      <xdr:row>30</xdr:row>
      <xdr:rowOff>83088</xdr:rowOff>
    </xdr:from>
    <xdr:to>
      <xdr:col>39</xdr:col>
      <xdr:colOff>685921</xdr:colOff>
      <xdr:row>32</xdr:row>
      <xdr:rowOff>129231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78388886-90A5-C943-B1A7-C0EC3015441C}"/>
            </a:ext>
          </a:extLst>
        </xdr:cNvPr>
        <xdr:cNvCxnSpPr/>
      </xdr:nvCxnSpPr>
      <xdr:spPr>
        <a:xfrm flipV="1">
          <a:off x="33336479" y="13500023"/>
          <a:ext cx="516516" cy="45582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38171</xdr:colOff>
      <xdr:row>32</xdr:row>
      <xdr:rowOff>133888</xdr:rowOff>
    </xdr:from>
    <xdr:to>
      <xdr:col>39</xdr:col>
      <xdr:colOff>678051</xdr:colOff>
      <xdr:row>34</xdr:row>
      <xdr:rowOff>107627</xdr:rowOff>
    </xdr:to>
    <xdr:cxnSp macro="">
      <xdr:nvCxnSpPr>
        <xdr:cNvPr id="247" name="Straight Arrow Connector 246">
          <a:extLst>
            <a:ext uri="{FF2B5EF4-FFF2-40B4-BE49-F238E27FC236}">
              <a16:creationId xmlns:a16="http://schemas.microsoft.com/office/drawing/2014/main" id="{0B9FD8BD-9A8D-6548-A44A-F076101CA8A3}"/>
            </a:ext>
          </a:extLst>
        </xdr:cNvPr>
        <xdr:cNvCxnSpPr/>
      </xdr:nvCxnSpPr>
      <xdr:spPr>
        <a:xfrm>
          <a:off x="33344945" y="13960501"/>
          <a:ext cx="512880" cy="3834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21525</xdr:colOff>
      <xdr:row>34</xdr:row>
      <xdr:rowOff>172203</xdr:rowOff>
    </xdr:from>
    <xdr:to>
      <xdr:col>39</xdr:col>
      <xdr:colOff>688814</xdr:colOff>
      <xdr:row>36</xdr:row>
      <xdr:rowOff>121482</xdr:rowOff>
    </xdr:to>
    <xdr:cxnSp macro="">
      <xdr:nvCxnSpPr>
        <xdr:cNvPr id="248" name="Straight Arrow Connector 247">
          <a:extLst>
            <a:ext uri="{FF2B5EF4-FFF2-40B4-BE49-F238E27FC236}">
              <a16:creationId xmlns:a16="http://schemas.microsoft.com/office/drawing/2014/main" id="{9E867FD9-683B-554D-B8D6-B129D0F84862}"/>
            </a:ext>
          </a:extLst>
        </xdr:cNvPr>
        <xdr:cNvCxnSpPr/>
      </xdr:nvCxnSpPr>
      <xdr:spPr>
        <a:xfrm flipV="1">
          <a:off x="33328299" y="14408493"/>
          <a:ext cx="527589" cy="35895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29991</xdr:colOff>
      <xdr:row>36</xdr:row>
      <xdr:rowOff>126139</xdr:rowOff>
    </xdr:from>
    <xdr:to>
      <xdr:col>39</xdr:col>
      <xdr:colOff>690393</xdr:colOff>
      <xdr:row>38</xdr:row>
      <xdr:rowOff>143072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862F79AF-66EF-064A-9CA7-F48A077514BB}"/>
            </a:ext>
          </a:extLst>
        </xdr:cNvPr>
        <xdr:cNvCxnSpPr/>
      </xdr:nvCxnSpPr>
      <xdr:spPr>
        <a:xfrm>
          <a:off x="33336765" y="14772107"/>
          <a:ext cx="520702" cy="4266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32288</xdr:colOff>
      <xdr:row>38</xdr:row>
      <xdr:rowOff>182966</xdr:rowOff>
    </xdr:from>
    <xdr:to>
      <xdr:col>39</xdr:col>
      <xdr:colOff>678051</xdr:colOff>
      <xdr:row>40</xdr:row>
      <xdr:rowOff>121482</xdr:rowOff>
    </xdr:to>
    <xdr:cxnSp macro="">
      <xdr:nvCxnSpPr>
        <xdr:cNvPr id="250" name="Straight Arrow Connector 249">
          <a:extLst>
            <a:ext uri="{FF2B5EF4-FFF2-40B4-BE49-F238E27FC236}">
              <a16:creationId xmlns:a16="http://schemas.microsoft.com/office/drawing/2014/main" id="{0CD021F1-5D6D-BC4B-8835-BF0F074F66EB}"/>
            </a:ext>
          </a:extLst>
        </xdr:cNvPr>
        <xdr:cNvCxnSpPr/>
      </xdr:nvCxnSpPr>
      <xdr:spPr>
        <a:xfrm flipV="1">
          <a:off x="33339062" y="15238611"/>
          <a:ext cx="518763" cy="3481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40754</xdr:colOff>
      <xdr:row>40</xdr:row>
      <xdr:rowOff>126139</xdr:rowOff>
    </xdr:from>
    <xdr:to>
      <xdr:col>39</xdr:col>
      <xdr:colOff>701156</xdr:colOff>
      <xdr:row>42</xdr:row>
      <xdr:rowOff>143072</xdr:rowOff>
    </xdr:to>
    <xdr:cxnSp macro="">
      <xdr:nvCxnSpPr>
        <xdr:cNvPr id="251" name="Straight Arrow Connector 250">
          <a:extLst>
            <a:ext uri="{FF2B5EF4-FFF2-40B4-BE49-F238E27FC236}">
              <a16:creationId xmlns:a16="http://schemas.microsoft.com/office/drawing/2014/main" id="{50068765-D2A8-6C44-8BBB-C14E63B22B33}"/>
            </a:ext>
          </a:extLst>
        </xdr:cNvPr>
        <xdr:cNvCxnSpPr/>
      </xdr:nvCxnSpPr>
      <xdr:spPr>
        <a:xfrm>
          <a:off x="33347528" y="15591462"/>
          <a:ext cx="508002" cy="4266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29</xdr:row>
      <xdr:rowOff>0</xdr:rowOff>
    </xdr:from>
    <xdr:to>
      <xdr:col>2</xdr:col>
      <xdr:colOff>635000</xdr:colOff>
      <xdr:row>32</xdr:row>
      <xdr:rowOff>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8B85CC2-6E24-E64B-B187-642D2CF66A72}"/>
            </a:ext>
          </a:extLst>
        </xdr:cNvPr>
        <xdr:cNvCxnSpPr/>
      </xdr:nvCxnSpPr>
      <xdr:spPr>
        <a:xfrm flipV="1">
          <a:off x="2197100" y="48006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98621</xdr:colOff>
      <xdr:row>32</xdr:row>
      <xdr:rowOff>2248</xdr:rowOff>
    </xdr:from>
    <xdr:to>
      <xdr:col>2</xdr:col>
      <xdr:colOff>632021</xdr:colOff>
      <xdr:row>35</xdr:row>
      <xdr:rowOff>2248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7783BD69-EBDD-044B-83A7-FDF6D41F9265}"/>
            </a:ext>
          </a:extLst>
        </xdr:cNvPr>
        <xdr:cNvCxnSpPr/>
      </xdr:nvCxnSpPr>
      <xdr:spPr>
        <a:xfrm>
          <a:off x="2194121" y="54124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58012</xdr:colOff>
      <xdr:row>26</xdr:row>
      <xdr:rowOff>0</xdr:rowOff>
    </xdr:from>
    <xdr:to>
      <xdr:col>4</xdr:col>
      <xdr:colOff>591412</xdr:colOff>
      <xdr:row>29</xdr:row>
      <xdr:rowOff>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C0390203-8880-554A-9D1E-EBC54B5A44D5}"/>
            </a:ext>
          </a:extLst>
        </xdr:cNvPr>
        <xdr:cNvCxnSpPr/>
      </xdr:nvCxnSpPr>
      <xdr:spPr>
        <a:xfrm flipV="1">
          <a:off x="3499712" y="4191000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55033</xdr:colOff>
      <xdr:row>29</xdr:row>
      <xdr:rowOff>2249</xdr:rowOff>
    </xdr:from>
    <xdr:to>
      <xdr:col>4</xdr:col>
      <xdr:colOff>588433</xdr:colOff>
      <xdr:row>32</xdr:row>
      <xdr:rowOff>2248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194F28DF-9033-2744-B27D-58F9DCCAA984}"/>
            </a:ext>
          </a:extLst>
        </xdr:cNvPr>
        <xdr:cNvCxnSpPr/>
      </xdr:nvCxnSpPr>
      <xdr:spPr>
        <a:xfrm>
          <a:off x="3496733" y="4802849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49546</xdr:colOff>
      <xdr:row>31</xdr:row>
      <xdr:rowOff>194733</xdr:rowOff>
    </xdr:from>
    <xdr:to>
      <xdr:col>4</xdr:col>
      <xdr:colOff>582946</xdr:colOff>
      <xdr:row>35</xdr:row>
      <xdr:rowOff>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44B97413-5123-4B4F-B85A-23D3849FF140}"/>
            </a:ext>
          </a:extLst>
        </xdr:cNvPr>
        <xdr:cNvCxnSpPr/>
      </xdr:nvCxnSpPr>
      <xdr:spPr>
        <a:xfrm flipV="1">
          <a:off x="3491246" y="54017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46567</xdr:colOff>
      <xdr:row>35</xdr:row>
      <xdr:rowOff>2248</xdr:rowOff>
    </xdr:from>
    <xdr:to>
      <xdr:col>4</xdr:col>
      <xdr:colOff>579967</xdr:colOff>
      <xdr:row>38</xdr:row>
      <xdr:rowOff>2248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2BA737E-1008-AE4C-B03B-70AB631BDD95}"/>
            </a:ext>
          </a:extLst>
        </xdr:cNvPr>
        <xdr:cNvCxnSpPr/>
      </xdr:nvCxnSpPr>
      <xdr:spPr>
        <a:xfrm>
          <a:off x="3488267" y="60220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49546</xdr:colOff>
      <xdr:row>22</xdr:row>
      <xdr:rowOff>194733</xdr:rowOff>
    </xdr:from>
    <xdr:to>
      <xdr:col>6</xdr:col>
      <xdr:colOff>582946</xdr:colOff>
      <xdr:row>26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7FEC389-7C8D-6B4B-A908-E17C17B16A10}"/>
            </a:ext>
          </a:extLst>
        </xdr:cNvPr>
        <xdr:cNvCxnSpPr/>
      </xdr:nvCxnSpPr>
      <xdr:spPr>
        <a:xfrm flipV="1">
          <a:off x="4837446" y="35729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46567</xdr:colOff>
      <xdr:row>26</xdr:row>
      <xdr:rowOff>2248</xdr:rowOff>
    </xdr:from>
    <xdr:to>
      <xdr:col>6</xdr:col>
      <xdr:colOff>579967</xdr:colOff>
      <xdr:row>29</xdr:row>
      <xdr:rowOff>2248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A98A570-6ED8-BF4F-8F6A-1DB2B7E84402}"/>
            </a:ext>
          </a:extLst>
        </xdr:cNvPr>
        <xdr:cNvCxnSpPr/>
      </xdr:nvCxnSpPr>
      <xdr:spPr>
        <a:xfrm>
          <a:off x="4834467" y="41932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49546</xdr:colOff>
      <xdr:row>29</xdr:row>
      <xdr:rowOff>0</xdr:rowOff>
    </xdr:from>
    <xdr:to>
      <xdr:col>6</xdr:col>
      <xdr:colOff>582946</xdr:colOff>
      <xdr:row>32</xdr:row>
      <xdr:rowOff>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AAF18EB6-31BF-E347-B7A8-03F3521F9D0A}"/>
            </a:ext>
          </a:extLst>
        </xdr:cNvPr>
        <xdr:cNvCxnSpPr/>
      </xdr:nvCxnSpPr>
      <xdr:spPr>
        <a:xfrm flipV="1">
          <a:off x="4837446" y="48006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46567</xdr:colOff>
      <xdr:row>32</xdr:row>
      <xdr:rowOff>2248</xdr:rowOff>
    </xdr:from>
    <xdr:to>
      <xdr:col>6</xdr:col>
      <xdr:colOff>579967</xdr:colOff>
      <xdr:row>35</xdr:row>
      <xdr:rowOff>2248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52EC2F68-0226-454D-BF2D-E3C877C30F96}"/>
            </a:ext>
          </a:extLst>
        </xdr:cNvPr>
        <xdr:cNvCxnSpPr/>
      </xdr:nvCxnSpPr>
      <xdr:spPr>
        <a:xfrm>
          <a:off x="4834467" y="54124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41080</xdr:colOff>
      <xdr:row>35</xdr:row>
      <xdr:rowOff>0</xdr:rowOff>
    </xdr:from>
    <xdr:to>
      <xdr:col>6</xdr:col>
      <xdr:colOff>574480</xdr:colOff>
      <xdr:row>38</xdr:row>
      <xdr:rowOff>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D500DB4-49A1-BE47-885A-692042C427CB}"/>
            </a:ext>
          </a:extLst>
        </xdr:cNvPr>
        <xdr:cNvCxnSpPr/>
      </xdr:nvCxnSpPr>
      <xdr:spPr>
        <a:xfrm flipV="1">
          <a:off x="4828980" y="6019800"/>
          <a:ext cx="533400" cy="5969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38</xdr:row>
      <xdr:rowOff>2249</xdr:rowOff>
    </xdr:from>
    <xdr:to>
      <xdr:col>6</xdr:col>
      <xdr:colOff>571501</xdr:colOff>
      <xdr:row>41</xdr:row>
      <xdr:rowOff>2248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E90A1907-B63A-FE45-9909-10E529414323}"/>
            </a:ext>
          </a:extLst>
        </xdr:cNvPr>
        <xdr:cNvCxnSpPr/>
      </xdr:nvCxnSpPr>
      <xdr:spPr>
        <a:xfrm>
          <a:off x="4826001" y="6618949"/>
          <a:ext cx="533400" cy="5968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41080</xdr:colOff>
      <xdr:row>20</xdr:row>
      <xdr:rowOff>0</xdr:rowOff>
    </xdr:from>
    <xdr:to>
      <xdr:col>8</xdr:col>
      <xdr:colOff>574480</xdr:colOff>
      <xdr:row>23</xdr:row>
      <xdr:rowOff>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1175919-B19C-0D41-B55B-07CC86469B07}"/>
            </a:ext>
          </a:extLst>
        </xdr:cNvPr>
        <xdr:cNvCxnSpPr/>
      </xdr:nvCxnSpPr>
      <xdr:spPr>
        <a:xfrm flipV="1">
          <a:off x="6175180" y="29718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38101</xdr:colOff>
      <xdr:row>23</xdr:row>
      <xdr:rowOff>2248</xdr:rowOff>
    </xdr:from>
    <xdr:to>
      <xdr:col>8</xdr:col>
      <xdr:colOff>571501</xdr:colOff>
      <xdr:row>26</xdr:row>
      <xdr:rowOff>2248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93816B1F-D515-0E41-8204-788669D1F44E}"/>
            </a:ext>
          </a:extLst>
        </xdr:cNvPr>
        <xdr:cNvCxnSpPr/>
      </xdr:nvCxnSpPr>
      <xdr:spPr>
        <a:xfrm>
          <a:off x="6172201" y="35836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49547</xdr:colOff>
      <xdr:row>26</xdr:row>
      <xdr:rowOff>0</xdr:rowOff>
    </xdr:from>
    <xdr:to>
      <xdr:col>8</xdr:col>
      <xdr:colOff>582947</xdr:colOff>
      <xdr:row>29</xdr:row>
      <xdr:rowOff>1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3B3CA5C4-E8DA-7546-AB63-A71924505DF1}"/>
            </a:ext>
          </a:extLst>
        </xdr:cNvPr>
        <xdr:cNvCxnSpPr/>
      </xdr:nvCxnSpPr>
      <xdr:spPr>
        <a:xfrm flipV="1">
          <a:off x="6183647" y="4191000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46568</xdr:colOff>
      <xdr:row>29</xdr:row>
      <xdr:rowOff>2249</xdr:rowOff>
    </xdr:from>
    <xdr:to>
      <xdr:col>8</xdr:col>
      <xdr:colOff>579968</xdr:colOff>
      <xdr:row>32</xdr:row>
      <xdr:rowOff>2248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F458A8C8-7760-CB4A-B2FC-37F8FAE2B327}"/>
            </a:ext>
          </a:extLst>
        </xdr:cNvPr>
        <xdr:cNvCxnSpPr/>
      </xdr:nvCxnSpPr>
      <xdr:spPr>
        <a:xfrm>
          <a:off x="6180668" y="4802849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49547</xdr:colOff>
      <xdr:row>31</xdr:row>
      <xdr:rowOff>194733</xdr:rowOff>
    </xdr:from>
    <xdr:to>
      <xdr:col>8</xdr:col>
      <xdr:colOff>582947</xdr:colOff>
      <xdr:row>35</xdr:row>
      <xdr:rowOff>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98089973-A96C-C04B-8641-0D104B796700}"/>
            </a:ext>
          </a:extLst>
        </xdr:cNvPr>
        <xdr:cNvCxnSpPr/>
      </xdr:nvCxnSpPr>
      <xdr:spPr>
        <a:xfrm flipV="1">
          <a:off x="6183647" y="54017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46568</xdr:colOff>
      <xdr:row>35</xdr:row>
      <xdr:rowOff>2248</xdr:rowOff>
    </xdr:from>
    <xdr:to>
      <xdr:col>8</xdr:col>
      <xdr:colOff>579968</xdr:colOff>
      <xdr:row>38</xdr:row>
      <xdr:rowOff>2248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20E061E6-1492-9041-8FA2-47C85897A5AC}"/>
            </a:ext>
          </a:extLst>
        </xdr:cNvPr>
        <xdr:cNvCxnSpPr/>
      </xdr:nvCxnSpPr>
      <xdr:spPr>
        <a:xfrm>
          <a:off x="6180668" y="60220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58014</xdr:colOff>
      <xdr:row>38</xdr:row>
      <xdr:rowOff>0</xdr:rowOff>
    </xdr:from>
    <xdr:to>
      <xdr:col>8</xdr:col>
      <xdr:colOff>591414</xdr:colOff>
      <xdr:row>41</xdr:row>
      <xdr:rowOff>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B6EE80C1-F9DA-FC41-86EB-EFA6FC48A59A}"/>
            </a:ext>
          </a:extLst>
        </xdr:cNvPr>
        <xdr:cNvCxnSpPr/>
      </xdr:nvCxnSpPr>
      <xdr:spPr>
        <a:xfrm flipV="1">
          <a:off x="6192114" y="6616700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55035</xdr:colOff>
      <xdr:row>41</xdr:row>
      <xdr:rowOff>2248</xdr:rowOff>
    </xdr:from>
    <xdr:to>
      <xdr:col>8</xdr:col>
      <xdr:colOff>588435</xdr:colOff>
      <xdr:row>44</xdr:row>
      <xdr:rowOff>2248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E22997F6-CE66-B145-B2F4-AAFC085001AE}"/>
            </a:ext>
          </a:extLst>
        </xdr:cNvPr>
        <xdr:cNvCxnSpPr/>
      </xdr:nvCxnSpPr>
      <xdr:spPr>
        <a:xfrm>
          <a:off x="6189135" y="72158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83414</xdr:colOff>
      <xdr:row>16</xdr:row>
      <xdr:rowOff>198966</xdr:rowOff>
    </xdr:from>
    <xdr:to>
      <xdr:col>10</xdr:col>
      <xdr:colOff>616814</xdr:colOff>
      <xdr:row>19</xdr:row>
      <xdr:rowOff>169333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17E5159A-B4F9-784E-84B3-21995B7A8106}"/>
            </a:ext>
          </a:extLst>
        </xdr:cNvPr>
        <xdr:cNvCxnSpPr/>
      </xdr:nvCxnSpPr>
      <xdr:spPr>
        <a:xfrm flipV="1">
          <a:off x="7563714" y="2357966"/>
          <a:ext cx="533400" cy="5799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80435</xdr:colOff>
      <xdr:row>19</xdr:row>
      <xdr:rowOff>171581</xdr:rowOff>
    </xdr:from>
    <xdr:to>
      <xdr:col>10</xdr:col>
      <xdr:colOff>613835</xdr:colOff>
      <xdr:row>22</xdr:row>
      <xdr:rowOff>184281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893C99AB-1B8C-F74E-88B1-234E4AADEBD7}"/>
            </a:ext>
          </a:extLst>
        </xdr:cNvPr>
        <xdr:cNvCxnSpPr/>
      </xdr:nvCxnSpPr>
      <xdr:spPr>
        <a:xfrm>
          <a:off x="7560735" y="2940181"/>
          <a:ext cx="533400" cy="6223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83414</xdr:colOff>
      <xdr:row>23</xdr:row>
      <xdr:rowOff>21166</xdr:rowOff>
    </xdr:from>
    <xdr:to>
      <xdr:col>10</xdr:col>
      <xdr:colOff>616814</xdr:colOff>
      <xdr:row>25</xdr:row>
      <xdr:rowOff>232833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83BE6A7B-3265-1242-8DA6-E09E6A584343}"/>
            </a:ext>
          </a:extLst>
        </xdr:cNvPr>
        <xdr:cNvCxnSpPr/>
      </xdr:nvCxnSpPr>
      <xdr:spPr>
        <a:xfrm flipV="1">
          <a:off x="7563714" y="3602566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80435</xdr:colOff>
      <xdr:row>25</xdr:row>
      <xdr:rowOff>235081</xdr:rowOff>
    </xdr:from>
    <xdr:to>
      <xdr:col>10</xdr:col>
      <xdr:colOff>613835</xdr:colOff>
      <xdr:row>28</xdr:row>
      <xdr:rowOff>196981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62CC99FE-7EEB-754E-8425-68C7705EAC91}"/>
            </a:ext>
          </a:extLst>
        </xdr:cNvPr>
        <xdr:cNvCxnSpPr/>
      </xdr:nvCxnSpPr>
      <xdr:spPr>
        <a:xfrm>
          <a:off x="7560735" y="41847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58014</xdr:colOff>
      <xdr:row>28</xdr:row>
      <xdr:rowOff>186266</xdr:rowOff>
    </xdr:from>
    <xdr:to>
      <xdr:col>10</xdr:col>
      <xdr:colOff>591414</xdr:colOff>
      <xdr:row>31</xdr:row>
      <xdr:rowOff>194733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164D88A-0850-F743-A443-446906138885}"/>
            </a:ext>
          </a:extLst>
        </xdr:cNvPr>
        <xdr:cNvCxnSpPr/>
      </xdr:nvCxnSpPr>
      <xdr:spPr>
        <a:xfrm flipV="1">
          <a:off x="7538314" y="47836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55035</xdr:colOff>
      <xdr:row>31</xdr:row>
      <xdr:rowOff>196981</xdr:rowOff>
    </xdr:from>
    <xdr:to>
      <xdr:col>10</xdr:col>
      <xdr:colOff>588435</xdr:colOff>
      <xdr:row>34</xdr:row>
      <xdr:rowOff>196981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B5074F04-E44D-1641-A3A7-D8AFFDC2F624}"/>
            </a:ext>
          </a:extLst>
        </xdr:cNvPr>
        <xdr:cNvCxnSpPr/>
      </xdr:nvCxnSpPr>
      <xdr:spPr>
        <a:xfrm>
          <a:off x="7535335" y="54039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45314</xdr:colOff>
      <xdr:row>34</xdr:row>
      <xdr:rowOff>186266</xdr:rowOff>
    </xdr:from>
    <xdr:to>
      <xdr:col>10</xdr:col>
      <xdr:colOff>578714</xdr:colOff>
      <xdr:row>37</xdr:row>
      <xdr:rowOff>194733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EF082362-495D-1945-8E41-5B6C4EF57219}"/>
            </a:ext>
          </a:extLst>
        </xdr:cNvPr>
        <xdr:cNvCxnSpPr/>
      </xdr:nvCxnSpPr>
      <xdr:spPr>
        <a:xfrm flipV="1">
          <a:off x="7525614" y="60028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42335</xdr:colOff>
      <xdr:row>37</xdr:row>
      <xdr:rowOff>196981</xdr:rowOff>
    </xdr:from>
    <xdr:to>
      <xdr:col>10</xdr:col>
      <xdr:colOff>575735</xdr:colOff>
      <xdr:row>41</xdr:row>
      <xdr:rowOff>6481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6D12DBE-A1FD-D34C-9EFC-FF2A5EF63408}"/>
            </a:ext>
          </a:extLst>
        </xdr:cNvPr>
        <xdr:cNvCxnSpPr/>
      </xdr:nvCxnSpPr>
      <xdr:spPr>
        <a:xfrm>
          <a:off x="7522635" y="66104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58014</xdr:colOff>
      <xdr:row>40</xdr:row>
      <xdr:rowOff>173566</xdr:rowOff>
    </xdr:from>
    <xdr:to>
      <xdr:col>10</xdr:col>
      <xdr:colOff>591414</xdr:colOff>
      <xdr:row>44</xdr:row>
      <xdr:rowOff>4233</xdr:rowOff>
    </xdr:to>
    <xdr:cxnSp macro="">
      <xdr:nvCxnSpPr>
        <xdr:cNvPr id="60" name="Straight Arrow Connector 59">
          <a:extLst>
            <a:ext uri="{FF2B5EF4-FFF2-40B4-BE49-F238E27FC236}">
              <a16:creationId xmlns:a16="http://schemas.microsoft.com/office/drawing/2014/main" id="{83C4B626-0A39-DC43-97C4-BE2898C98A83}"/>
            </a:ext>
          </a:extLst>
        </xdr:cNvPr>
        <xdr:cNvCxnSpPr/>
      </xdr:nvCxnSpPr>
      <xdr:spPr>
        <a:xfrm flipV="1">
          <a:off x="7538314" y="71966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55035</xdr:colOff>
      <xdr:row>44</xdr:row>
      <xdr:rowOff>6481</xdr:rowOff>
    </xdr:from>
    <xdr:to>
      <xdr:col>10</xdr:col>
      <xdr:colOff>588435</xdr:colOff>
      <xdr:row>47</xdr:row>
      <xdr:rowOff>19181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8C98DAA4-EEC4-C94E-9F5C-F3CB6E50302B}"/>
            </a:ext>
          </a:extLst>
        </xdr:cNvPr>
        <xdr:cNvCxnSpPr/>
      </xdr:nvCxnSpPr>
      <xdr:spPr>
        <a:xfrm>
          <a:off x="7535335" y="78169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29584</xdr:colOff>
      <xdr:row>63</xdr:row>
      <xdr:rowOff>67733</xdr:rowOff>
    </xdr:from>
    <xdr:to>
      <xdr:col>2</xdr:col>
      <xdr:colOff>685800</xdr:colOff>
      <xdr:row>65</xdr:row>
      <xdr:rowOff>113876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B41FE9D4-B94B-3B4E-A843-5099F3A340DA}"/>
            </a:ext>
          </a:extLst>
        </xdr:cNvPr>
        <xdr:cNvCxnSpPr/>
      </xdr:nvCxnSpPr>
      <xdr:spPr>
        <a:xfrm flipV="1">
          <a:off x="11548484" y="3649133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38050</xdr:colOff>
      <xdr:row>65</xdr:row>
      <xdr:rowOff>118533</xdr:rowOff>
    </xdr:from>
    <xdr:to>
      <xdr:col>2</xdr:col>
      <xdr:colOff>694266</xdr:colOff>
      <xdr:row>67</xdr:row>
      <xdr:rowOff>164676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B906B338-7AE2-4B4A-8509-5399FD853202}"/>
            </a:ext>
          </a:extLst>
        </xdr:cNvPr>
        <xdr:cNvCxnSpPr/>
      </xdr:nvCxnSpPr>
      <xdr:spPr>
        <a:xfrm>
          <a:off x="11556950" y="4106333"/>
          <a:ext cx="6308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61</xdr:row>
      <xdr:rowOff>59268</xdr:rowOff>
    </xdr:from>
    <xdr:to>
      <xdr:col>4</xdr:col>
      <xdr:colOff>711200</xdr:colOff>
      <xdr:row>63</xdr:row>
      <xdr:rowOff>84667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C4B938C9-081A-FC46-A21C-F7026946C6E6}"/>
            </a:ext>
          </a:extLst>
        </xdr:cNvPr>
        <xdr:cNvCxnSpPr/>
      </xdr:nvCxnSpPr>
      <xdr:spPr>
        <a:xfrm flipV="1">
          <a:off x="12941300" y="3234268"/>
          <a:ext cx="596900" cy="431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67734</xdr:colOff>
      <xdr:row>63</xdr:row>
      <xdr:rowOff>101600</xdr:rowOff>
    </xdr:from>
    <xdr:to>
      <xdr:col>4</xdr:col>
      <xdr:colOff>702733</xdr:colOff>
      <xdr:row>65</xdr:row>
      <xdr:rowOff>63075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74590FEE-FAE3-984F-8201-CF15600A1AE3}"/>
            </a:ext>
          </a:extLst>
        </xdr:cNvPr>
        <xdr:cNvCxnSpPr/>
      </xdr:nvCxnSpPr>
      <xdr:spPr>
        <a:xfrm>
          <a:off x="12932834" y="3683000"/>
          <a:ext cx="609599" cy="367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38051</xdr:colOff>
      <xdr:row>65</xdr:row>
      <xdr:rowOff>110067</xdr:rowOff>
    </xdr:from>
    <xdr:to>
      <xdr:col>4</xdr:col>
      <xdr:colOff>702734</xdr:colOff>
      <xdr:row>67</xdr:row>
      <xdr:rowOff>113877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DFB2DF8E-7FDD-824F-A25E-A3690D266558}"/>
            </a:ext>
          </a:extLst>
        </xdr:cNvPr>
        <xdr:cNvCxnSpPr/>
      </xdr:nvCxnSpPr>
      <xdr:spPr>
        <a:xfrm flipV="1">
          <a:off x="12903151" y="4097867"/>
          <a:ext cx="639283" cy="4102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46517</xdr:colOff>
      <xdr:row>67</xdr:row>
      <xdr:rowOff>118533</xdr:rowOff>
    </xdr:from>
    <xdr:to>
      <xdr:col>4</xdr:col>
      <xdr:colOff>711200</xdr:colOff>
      <xdr:row>69</xdr:row>
      <xdr:rowOff>127000</xdr:rowOff>
    </xdr:to>
    <xdr:cxnSp macro="">
      <xdr:nvCxnSpPr>
        <xdr:cNvPr id="67" name="Straight Arrow Connector 66">
          <a:extLst>
            <a:ext uri="{FF2B5EF4-FFF2-40B4-BE49-F238E27FC236}">
              <a16:creationId xmlns:a16="http://schemas.microsoft.com/office/drawing/2014/main" id="{19F7D531-4EE3-074D-9DE8-F23853474B6B}"/>
            </a:ext>
          </a:extLst>
        </xdr:cNvPr>
        <xdr:cNvCxnSpPr/>
      </xdr:nvCxnSpPr>
      <xdr:spPr>
        <a:xfrm>
          <a:off x="12911617" y="4512733"/>
          <a:ext cx="626583" cy="4148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33866</xdr:colOff>
      <xdr:row>59</xdr:row>
      <xdr:rowOff>50800</xdr:rowOff>
    </xdr:from>
    <xdr:to>
      <xdr:col>6</xdr:col>
      <xdr:colOff>690082</xdr:colOff>
      <xdr:row>61</xdr:row>
      <xdr:rowOff>96943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DD633459-69E5-984E-B519-8EB5837CA09E}"/>
            </a:ext>
          </a:extLst>
        </xdr:cNvPr>
        <xdr:cNvCxnSpPr/>
      </xdr:nvCxnSpPr>
      <xdr:spPr>
        <a:xfrm flipV="1">
          <a:off x="14245166" y="2819400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42332</xdr:colOff>
      <xdr:row>61</xdr:row>
      <xdr:rowOff>101600</xdr:rowOff>
    </xdr:from>
    <xdr:to>
      <xdr:col>6</xdr:col>
      <xdr:colOff>702734</xdr:colOff>
      <xdr:row>63</xdr:row>
      <xdr:rowOff>118533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C4E140AA-D0A4-F84F-9A48-A7D3E9626F83}"/>
            </a:ext>
          </a:extLst>
        </xdr:cNvPr>
        <xdr:cNvCxnSpPr/>
      </xdr:nvCxnSpPr>
      <xdr:spPr>
        <a:xfrm>
          <a:off x="14253632" y="3276600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50800</xdr:colOff>
      <xdr:row>63</xdr:row>
      <xdr:rowOff>160868</xdr:rowOff>
    </xdr:from>
    <xdr:to>
      <xdr:col>6</xdr:col>
      <xdr:colOff>690082</xdr:colOff>
      <xdr:row>65</xdr:row>
      <xdr:rowOff>110067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45E8A680-F025-3040-9B3E-C76E50C4E62D}"/>
            </a:ext>
          </a:extLst>
        </xdr:cNvPr>
        <xdr:cNvCxnSpPr/>
      </xdr:nvCxnSpPr>
      <xdr:spPr>
        <a:xfrm flipV="1">
          <a:off x="14262100" y="3742268"/>
          <a:ext cx="626582" cy="355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67734</xdr:colOff>
      <xdr:row>65</xdr:row>
      <xdr:rowOff>118533</xdr:rowOff>
    </xdr:from>
    <xdr:to>
      <xdr:col>6</xdr:col>
      <xdr:colOff>698548</xdr:colOff>
      <xdr:row>67</xdr:row>
      <xdr:rowOff>130805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88ED60CB-71CC-7443-8B0F-F13148C4EA86}"/>
            </a:ext>
          </a:extLst>
        </xdr:cNvPr>
        <xdr:cNvCxnSpPr/>
      </xdr:nvCxnSpPr>
      <xdr:spPr>
        <a:xfrm>
          <a:off x="14279034" y="4106333"/>
          <a:ext cx="605414" cy="4186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59267</xdr:colOff>
      <xdr:row>67</xdr:row>
      <xdr:rowOff>152401</xdr:rowOff>
    </xdr:from>
    <xdr:to>
      <xdr:col>6</xdr:col>
      <xdr:colOff>707015</xdr:colOff>
      <xdr:row>69</xdr:row>
      <xdr:rowOff>118533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C1D2EF4F-5700-564D-B0C8-039022FF6674}"/>
            </a:ext>
          </a:extLst>
        </xdr:cNvPr>
        <xdr:cNvCxnSpPr/>
      </xdr:nvCxnSpPr>
      <xdr:spPr>
        <a:xfrm flipV="1">
          <a:off x="14270567" y="4546601"/>
          <a:ext cx="609648" cy="372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69</xdr:row>
      <xdr:rowOff>127000</xdr:rowOff>
    </xdr:from>
    <xdr:to>
      <xdr:col>6</xdr:col>
      <xdr:colOff>690081</xdr:colOff>
      <xdr:row>71</xdr:row>
      <xdr:rowOff>156209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F91A5BCD-8745-9343-885E-2B133B2B562D}"/>
            </a:ext>
          </a:extLst>
        </xdr:cNvPr>
        <xdr:cNvCxnSpPr/>
      </xdr:nvCxnSpPr>
      <xdr:spPr>
        <a:xfrm>
          <a:off x="14287500" y="4927600"/>
          <a:ext cx="601181" cy="435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17220</xdr:colOff>
      <xdr:row>57</xdr:row>
      <xdr:rowOff>27551</xdr:rowOff>
    </xdr:from>
    <xdr:to>
      <xdr:col>8</xdr:col>
      <xdr:colOff>673436</xdr:colOff>
      <xdr:row>59</xdr:row>
      <xdr:rowOff>73694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B9C2A643-AD7E-BB44-BA9C-FC76E867856E}"/>
            </a:ext>
          </a:extLst>
        </xdr:cNvPr>
        <xdr:cNvCxnSpPr/>
      </xdr:nvCxnSpPr>
      <xdr:spPr>
        <a:xfrm flipV="1">
          <a:off x="15574720" y="23897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25686</xdr:colOff>
      <xdr:row>59</xdr:row>
      <xdr:rowOff>78351</xdr:rowOff>
    </xdr:from>
    <xdr:to>
      <xdr:col>8</xdr:col>
      <xdr:colOff>688814</xdr:colOff>
      <xdr:row>61</xdr:row>
      <xdr:rowOff>64576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352B35B4-08B9-844B-B9FD-23D27F3B8748}"/>
            </a:ext>
          </a:extLst>
        </xdr:cNvPr>
        <xdr:cNvCxnSpPr/>
      </xdr:nvCxnSpPr>
      <xdr:spPr>
        <a:xfrm>
          <a:off x="15583186" y="28469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29705</xdr:colOff>
      <xdr:row>61</xdr:row>
      <xdr:rowOff>83088</xdr:rowOff>
    </xdr:from>
    <xdr:to>
      <xdr:col>8</xdr:col>
      <xdr:colOff>685921</xdr:colOff>
      <xdr:row>63</xdr:row>
      <xdr:rowOff>129231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170E4296-D838-5241-A0C2-B8A22D044403}"/>
            </a:ext>
          </a:extLst>
        </xdr:cNvPr>
        <xdr:cNvCxnSpPr/>
      </xdr:nvCxnSpPr>
      <xdr:spPr>
        <a:xfrm flipV="1">
          <a:off x="15587205" y="3258088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38171</xdr:colOff>
      <xdr:row>63</xdr:row>
      <xdr:rowOff>133888</xdr:rowOff>
    </xdr:from>
    <xdr:to>
      <xdr:col>8</xdr:col>
      <xdr:colOff>678051</xdr:colOff>
      <xdr:row>65</xdr:row>
      <xdr:rowOff>107627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4B3975B0-58FC-044E-8C42-FFD47F59C773}"/>
            </a:ext>
          </a:extLst>
        </xdr:cNvPr>
        <xdr:cNvCxnSpPr/>
      </xdr:nvCxnSpPr>
      <xdr:spPr>
        <a:xfrm>
          <a:off x="15595671" y="3715288"/>
          <a:ext cx="639880" cy="3801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21525</xdr:colOff>
      <xdr:row>65</xdr:row>
      <xdr:rowOff>172203</xdr:rowOff>
    </xdr:from>
    <xdr:to>
      <xdr:col>8</xdr:col>
      <xdr:colOff>688814</xdr:colOff>
      <xdr:row>67</xdr:row>
      <xdr:rowOff>121482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F7B5461A-4E96-5347-8CCA-F44932D5DDCB}"/>
            </a:ext>
          </a:extLst>
        </xdr:cNvPr>
        <xdr:cNvCxnSpPr/>
      </xdr:nvCxnSpPr>
      <xdr:spPr>
        <a:xfrm flipV="1">
          <a:off x="15579025" y="4160003"/>
          <a:ext cx="654589" cy="355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29991</xdr:colOff>
      <xdr:row>67</xdr:row>
      <xdr:rowOff>126139</xdr:rowOff>
    </xdr:from>
    <xdr:to>
      <xdr:col>8</xdr:col>
      <xdr:colOff>690393</xdr:colOff>
      <xdr:row>69</xdr:row>
      <xdr:rowOff>143072</xdr:rowOff>
    </xdr:to>
    <xdr:cxnSp macro="">
      <xdr:nvCxnSpPr>
        <xdr:cNvPr id="79" name="Straight Arrow Connector 78">
          <a:extLst>
            <a:ext uri="{FF2B5EF4-FFF2-40B4-BE49-F238E27FC236}">
              <a16:creationId xmlns:a16="http://schemas.microsoft.com/office/drawing/2014/main" id="{8CBC564F-AAFA-DE48-9EC4-5B985675BFBD}"/>
            </a:ext>
          </a:extLst>
        </xdr:cNvPr>
        <xdr:cNvCxnSpPr/>
      </xdr:nvCxnSpPr>
      <xdr:spPr>
        <a:xfrm>
          <a:off x="15587491" y="4520339"/>
          <a:ext cx="6477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32288</xdr:colOff>
      <xdr:row>69</xdr:row>
      <xdr:rowOff>182966</xdr:rowOff>
    </xdr:from>
    <xdr:to>
      <xdr:col>8</xdr:col>
      <xdr:colOff>678051</xdr:colOff>
      <xdr:row>71</xdr:row>
      <xdr:rowOff>121482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0CD3EBF3-94FE-BF4F-9310-2C86DFDA437D}"/>
            </a:ext>
          </a:extLst>
        </xdr:cNvPr>
        <xdr:cNvCxnSpPr/>
      </xdr:nvCxnSpPr>
      <xdr:spPr>
        <a:xfrm flipV="1">
          <a:off x="15589788" y="4983566"/>
          <a:ext cx="645763" cy="3449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40754</xdr:colOff>
      <xdr:row>71</xdr:row>
      <xdr:rowOff>126139</xdr:rowOff>
    </xdr:from>
    <xdr:to>
      <xdr:col>8</xdr:col>
      <xdr:colOff>701156</xdr:colOff>
      <xdr:row>73</xdr:row>
      <xdr:rowOff>143072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108C70AE-5ECA-454F-AF4F-4C7D0EDBB678}"/>
            </a:ext>
          </a:extLst>
        </xdr:cNvPr>
        <xdr:cNvCxnSpPr/>
      </xdr:nvCxnSpPr>
      <xdr:spPr>
        <a:xfrm>
          <a:off x="15598254" y="5333139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4520</xdr:colOff>
      <xdr:row>55</xdr:row>
      <xdr:rowOff>103751</xdr:rowOff>
    </xdr:from>
    <xdr:to>
      <xdr:col>10</xdr:col>
      <xdr:colOff>660736</xdr:colOff>
      <xdr:row>57</xdr:row>
      <xdr:rowOff>149894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6702E975-5A2F-224D-A1CD-FB37614A673A}"/>
            </a:ext>
          </a:extLst>
        </xdr:cNvPr>
        <xdr:cNvCxnSpPr/>
      </xdr:nvCxnSpPr>
      <xdr:spPr>
        <a:xfrm flipV="1">
          <a:off x="16336720" y="34692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12986</xdr:colOff>
      <xdr:row>57</xdr:row>
      <xdr:rowOff>154551</xdr:rowOff>
    </xdr:from>
    <xdr:to>
      <xdr:col>10</xdr:col>
      <xdr:colOff>663414</xdr:colOff>
      <xdr:row>59</xdr:row>
      <xdr:rowOff>140776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C44D9F3C-7487-314A-8158-936B625A9195}"/>
            </a:ext>
          </a:extLst>
        </xdr:cNvPr>
        <xdr:cNvCxnSpPr/>
      </xdr:nvCxnSpPr>
      <xdr:spPr>
        <a:xfrm>
          <a:off x="16345186" y="39264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29920</xdr:colOff>
      <xdr:row>59</xdr:row>
      <xdr:rowOff>78351</xdr:rowOff>
    </xdr:from>
    <xdr:to>
      <xdr:col>11</xdr:col>
      <xdr:colOff>13036</xdr:colOff>
      <xdr:row>61</xdr:row>
      <xdr:rowOff>124494</xdr:rowOff>
    </xdr:to>
    <xdr:cxnSp macro="">
      <xdr:nvCxnSpPr>
        <xdr:cNvPr id="84" name="Straight Arrow Connector 83">
          <a:extLst>
            <a:ext uri="{FF2B5EF4-FFF2-40B4-BE49-F238E27FC236}">
              <a16:creationId xmlns:a16="http://schemas.microsoft.com/office/drawing/2014/main" id="{EAF3959F-BEAA-3944-8C28-10DC7FF085E7}"/>
            </a:ext>
          </a:extLst>
        </xdr:cNvPr>
        <xdr:cNvCxnSpPr/>
      </xdr:nvCxnSpPr>
      <xdr:spPr>
        <a:xfrm flipV="1">
          <a:off x="16362120" y="42566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38386</xdr:colOff>
      <xdr:row>61</xdr:row>
      <xdr:rowOff>129151</xdr:rowOff>
    </xdr:from>
    <xdr:to>
      <xdr:col>11</xdr:col>
      <xdr:colOff>15714</xdr:colOff>
      <xdr:row>63</xdr:row>
      <xdr:rowOff>115376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AF7A484B-DFDA-1141-BCBF-3988C89A4211}"/>
            </a:ext>
          </a:extLst>
        </xdr:cNvPr>
        <xdr:cNvCxnSpPr/>
      </xdr:nvCxnSpPr>
      <xdr:spPr>
        <a:xfrm>
          <a:off x="16370586" y="47138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42620</xdr:colOff>
      <xdr:row>63</xdr:row>
      <xdr:rowOff>78351</xdr:rowOff>
    </xdr:from>
    <xdr:to>
      <xdr:col>11</xdr:col>
      <xdr:colOff>25736</xdr:colOff>
      <xdr:row>65</xdr:row>
      <xdr:rowOff>124494</xdr:rowOff>
    </xdr:to>
    <xdr:cxnSp macro="">
      <xdr:nvCxnSpPr>
        <xdr:cNvPr id="86" name="Straight Arrow Connector 85">
          <a:extLst>
            <a:ext uri="{FF2B5EF4-FFF2-40B4-BE49-F238E27FC236}">
              <a16:creationId xmlns:a16="http://schemas.microsoft.com/office/drawing/2014/main" id="{67BD34E6-00E8-AD4B-A768-15B99585777B}"/>
            </a:ext>
          </a:extLst>
        </xdr:cNvPr>
        <xdr:cNvCxnSpPr/>
      </xdr:nvCxnSpPr>
      <xdr:spPr>
        <a:xfrm flipV="1">
          <a:off x="16374820" y="50694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51086</xdr:colOff>
      <xdr:row>65</xdr:row>
      <xdr:rowOff>129151</xdr:rowOff>
    </xdr:from>
    <xdr:to>
      <xdr:col>11</xdr:col>
      <xdr:colOff>28414</xdr:colOff>
      <xdr:row>67</xdr:row>
      <xdr:rowOff>115376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DAEFC602-56F0-ED4F-B433-4567BA683A2E}"/>
            </a:ext>
          </a:extLst>
        </xdr:cNvPr>
        <xdr:cNvCxnSpPr/>
      </xdr:nvCxnSpPr>
      <xdr:spPr>
        <a:xfrm>
          <a:off x="16383286" y="55266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29920</xdr:colOff>
      <xdr:row>67</xdr:row>
      <xdr:rowOff>103751</xdr:rowOff>
    </xdr:from>
    <xdr:to>
      <xdr:col>11</xdr:col>
      <xdr:colOff>13036</xdr:colOff>
      <xdr:row>69</xdr:row>
      <xdr:rowOff>149894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897DB36C-E4F2-D74F-8409-885900230499}"/>
            </a:ext>
          </a:extLst>
        </xdr:cNvPr>
        <xdr:cNvCxnSpPr/>
      </xdr:nvCxnSpPr>
      <xdr:spPr>
        <a:xfrm flipV="1">
          <a:off x="16362120" y="59076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38386</xdr:colOff>
      <xdr:row>69</xdr:row>
      <xdr:rowOff>154551</xdr:rowOff>
    </xdr:from>
    <xdr:to>
      <xdr:col>11</xdr:col>
      <xdr:colOff>15714</xdr:colOff>
      <xdr:row>71</xdr:row>
      <xdr:rowOff>140776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224921C4-F8D6-3A44-B8AD-D02FB65B18E2}"/>
            </a:ext>
          </a:extLst>
        </xdr:cNvPr>
        <xdr:cNvCxnSpPr/>
      </xdr:nvCxnSpPr>
      <xdr:spPr>
        <a:xfrm>
          <a:off x="16370586" y="63648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17220</xdr:colOff>
      <xdr:row>71</xdr:row>
      <xdr:rowOff>103751</xdr:rowOff>
    </xdr:from>
    <xdr:to>
      <xdr:col>11</xdr:col>
      <xdr:colOff>336</xdr:colOff>
      <xdr:row>73</xdr:row>
      <xdr:rowOff>149894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AF2BEBCF-0C13-D640-AC15-68EE13354467}"/>
            </a:ext>
          </a:extLst>
        </xdr:cNvPr>
        <xdr:cNvCxnSpPr/>
      </xdr:nvCxnSpPr>
      <xdr:spPr>
        <a:xfrm flipV="1">
          <a:off x="16349420" y="67204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25686</xdr:colOff>
      <xdr:row>73</xdr:row>
      <xdr:rowOff>154551</xdr:rowOff>
    </xdr:from>
    <xdr:to>
      <xdr:col>11</xdr:col>
      <xdr:colOff>3014</xdr:colOff>
      <xdr:row>75</xdr:row>
      <xdr:rowOff>140776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E65DFA25-C16C-F541-8480-BCFD6D2E9A80}"/>
            </a:ext>
          </a:extLst>
        </xdr:cNvPr>
        <xdr:cNvCxnSpPr/>
      </xdr:nvCxnSpPr>
      <xdr:spPr>
        <a:xfrm>
          <a:off x="16357886" y="71776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29584</xdr:colOff>
      <xdr:row>23</xdr:row>
      <xdr:rowOff>67733</xdr:rowOff>
    </xdr:from>
    <xdr:to>
      <xdr:col>16</xdr:col>
      <xdr:colOff>685800</xdr:colOff>
      <xdr:row>25</xdr:row>
      <xdr:rowOff>113876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293B26AC-4F9A-0B44-A1D2-DB00BEE30C3D}"/>
            </a:ext>
          </a:extLst>
        </xdr:cNvPr>
        <xdr:cNvCxnSpPr/>
      </xdr:nvCxnSpPr>
      <xdr:spPr>
        <a:xfrm flipV="1">
          <a:off x="29963484" y="6532033"/>
          <a:ext cx="4149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38050</xdr:colOff>
      <xdr:row>25</xdr:row>
      <xdr:rowOff>118533</xdr:rowOff>
    </xdr:from>
    <xdr:to>
      <xdr:col>16</xdr:col>
      <xdr:colOff>694266</xdr:colOff>
      <xdr:row>27</xdr:row>
      <xdr:rowOff>164676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A2888D33-2DE2-704E-A867-DA311A2DA504}"/>
            </a:ext>
          </a:extLst>
        </xdr:cNvPr>
        <xdr:cNvCxnSpPr/>
      </xdr:nvCxnSpPr>
      <xdr:spPr>
        <a:xfrm>
          <a:off x="29971950" y="6989233"/>
          <a:ext cx="402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76200</xdr:colOff>
      <xdr:row>21</xdr:row>
      <xdr:rowOff>59268</xdr:rowOff>
    </xdr:from>
    <xdr:to>
      <xdr:col>18</xdr:col>
      <xdr:colOff>711200</xdr:colOff>
      <xdr:row>23</xdr:row>
      <xdr:rowOff>84667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C8A85F8D-C398-2C4E-912B-D887AE1AA1CB}"/>
            </a:ext>
          </a:extLst>
        </xdr:cNvPr>
        <xdr:cNvCxnSpPr/>
      </xdr:nvCxnSpPr>
      <xdr:spPr>
        <a:xfrm flipV="1">
          <a:off x="31038800" y="6117168"/>
          <a:ext cx="482600" cy="431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67734</xdr:colOff>
      <xdr:row>23</xdr:row>
      <xdr:rowOff>101600</xdr:rowOff>
    </xdr:from>
    <xdr:to>
      <xdr:col>18</xdr:col>
      <xdr:colOff>702733</xdr:colOff>
      <xdr:row>25</xdr:row>
      <xdr:rowOff>63075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C08FF45E-31B6-0C42-96F0-EF8425D914E2}"/>
            </a:ext>
          </a:extLst>
        </xdr:cNvPr>
        <xdr:cNvCxnSpPr/>
      </xdr:nvCxnSpPr>
      <xdr:spPr>
        <a:xfrm>
          <a:off x="31030334" y="6565900"/>
          <a:ext cx="495299" cy="367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38051</xdr:colOff>
      <xdr:row>25</xdr:row>
      <xdr:rowOff>110067</xdr:rowOff>
    </xdr:from>
    <xdr:to>
      <xdr:col>18</xdr:col>
      <xdr:colOff>702734</xdr:colOff>
      <xdr:row>27</xdr:row>
      <xdr:rowOff>113877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26F421CA-6EED-3245-BE9A-DCDDB1F68F7D}"/>
            </a:ext>
          </a:extLst>
        </xdr:cNvPr>
        <xdr:cNvCxnSpPr/>
      </xdr:nvCxnSpPr>
      <xdr:spPr>
        <a:xfrm flipV="1">
          <a:off x="31000651" y="6980767"/>
          <a:ext cx="524983" cy="4102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46517</xdr:colOff>
      <xdr:row>27</xdr:row>
      <xdr:rowOff>118533</xdr:rowOff>
    </xdr:from>
    <xdr:to>
      <xdr:col>18</xdr:col>
      <xdr:colOff>711200</xdr:colOff>
      <xdr:row>29</xdr:row>
      <xdr:rowOff>127000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427983A0-A1B4-CB4B-908C-573AF31B7766}"/>
            </a:ext>
          </a:extLst>
        </xdr:cNvPr>
        <xdr:cNvCxnSpPr/>
      </xdr:nvCxnSpPr>
      <xdr:spPr>
        <a:xfrm>
          <a:off x="31009117" y="7395633"/>
          <a:ext cx="512283" cy="4148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33866</xdr:colOff>
      <xdr:row>19</xdr:row>
      <xdr:rowOff>50800</xdr:rowOff>
    </xdr:from>
    <xdr:to>
      <xdr:col>20</xdr:col>
      <xdr:colOff>690082</xdr:colOff>
      <xdr:row>21</xdr:row>
      <xdr:rowOff>96943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6A03D295-0E41-514C-9380-72AC44EEDAE0}"/>
            </a:ext>
          </a:extLst>
        </xdr:cNvPr>
        <xdr:cNvCxnSpPr/>
      </xdr:nvCxnSpPr>
      <xdr:spPr>
        <a:xfrm flipV="1">
          <a:off x="32177566" y="5715000"/>
          <a:ext cx="516516" cy="4398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42332</xdr:colOff>
      <xdr:row>21</xdr:row>
      <xdr:rowOff>101600</xdr:rowOff>
    </xdr:from>
    <xdr:to>
      <xdr:col>20</xdr:col>
      <xdr:colOff>702734</xdr:colOff>
      <xdr:row>23</xdr:row>
      <xdr:rowOff>118533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A82CD2B0-FAF6-9B4E-8C4F-DA264A129CE1}"/>
            </a:ext>
          </a:extLst>
        </xdr:cNvPr>
        <xdr:cNvCxnSpPr/>
      </xdr:nvCxnSpPr>
      <xdr:spPr>
        <a:xfrm>
          <a:off x="32186032" y="6159500"/>
          <a:ext cx="508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23</xdr:row>
      <xdr:rowOff>160868</xdr:rowOff>
    </xdr:from>
    <xdr:to>
      <xdr:col>20</xdr:col>
      <xdr:colOff>690082</xdr:colOff>
      <xdr:row>25</xdr:row>
      <xdr:rowOff>110067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B07C1D88-A001-344D-8B0C-A9160A84E1B6}"/>
            </a:ext>
          </a:extLst>
        </xdr:cNvPr>
        <xdr:cNvCxnSpPr/>
      </xdr:nvCxnSpPr>
      <xdr:spPr>
        <a:xfrm flipV="1">
          <a:off x="32194500" y="6625168"/>
          <a:ext cx="499582" cy="355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67734</xdr:colOff>
      <xdr:row>25</xdr:row>
      <xdr:rowOff>118533</xdr:rowOff>
    </xdr:from>
    <xdr:to>
      <xdr:col>20</xdr:col>
      <xdr:colOff>698548</xdr:colOff>
      <xdr:row>27</xdr:row>
      <xdr:rowOff>130805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3665D63F-B6D3-D149-8EB3-8AEF29828C0B}"/>
            </a:ext>
          </a:extLst>
        </xdr:cNvPr>
        <xdr:cNvCxnSpPr/>
      </xdr:nvCxnSpPr>
      <xdr:spPr>
        <a:xfrm>
          <a:off x="32211434" y="6989233"/>
          <a:ext cx="478414" cy="4186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59267</xdr:colOff>
      <xdr:row>27</xdr:row>
      <xdr:rowOff>152401</xdr:rowOff>
    </xdr:from>
    <xdr:to>
      <xdr:col>20</xdr:col>
      <xdr:colOff>707015</xdr:colOff>
      <xdr:row>29</xdr:row>
      <xdr:rowOff>118533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81D75714-662C-9240-A378-D738CEC0F978}"/>
            </a:ext>
          </a:extLst>
        </xdr:cNvPr>
        <xdr:cNvCxnSpPr/>
      </xdr:nvCxnSpPr>
      <xdr:spPr>
        <a:xfrm flipV="1">
          <a:off x="32202967" y="7429501"/>
          <a:ext cx="482648" cy="372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29</xdr:row>
      <xdr:rowOff>127000</xdr:rowOff>
    </xdr:from>
    <xdr:to>
      <xdr:col>20</xdr:col>
      <xdr:colOff>690081</xdr:colOff>
      <xdr:row>31</xdr:row>
      <xdr:rowOff>156209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BB26D3C5-1A7C-9147-B959-D72430E6D0B8}"/>
            </a:ext>
          </a:extLst>
        </xdr:cNvPr>
        <xdr:cNvCxnSpPr/>
      </xdr:nvCxnSpPr>
      <xdr:spPr>
        <a:xfrm>
          <a:off x="32219900" y="7810500"/>
          <a:ext cx="474181" cy="435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17220</xdr:colOff>
      <xdr:row>17</xdr:row>
      <xdr:rowOff>27551</xdr:rowOff>
    </xdr:from>
    <xdr:to>
      <xdr:col>22</xdr:col>
      <xdr:colOff>673436</xdr:colOff>
      <xdr:row>19</xdr:row>
      <xdr:rowOff>73694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4DB34C86-7BAA-7146-91EC-61AA30F8BB69}"/>
            </a:ext>
          </a:extLst>
        </xdr:cNvPr>
        <xdr:cNvCxnSpPr/>
      </xdr:nvCxnSpPr>
      <xdr:spPr>
        <a:xfrm flipV="1">
          <a:off x="33329320" y="5285351"/>
          <a:ext cx="529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25686</xdr:colOff>
      <xdr:row>19</xdr:row>
      <xdr:rowOff>78351</xdr:rowOff>
    </xdr:from>
    <xdr:to>
      <xdr:col>22</xdr:col>
      <xdr:colOff>688814</xdr:colOff>
      <xdr:row>21</xdr:row>
      <xdr:rowOff>64576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3195A3AF-0AC5-3A4B-99E7-6FF21EB68BC0}"/>
            </a:ext>
          </a:extLst>
        </xdr:cNvPr>
        <xdr:cNvCxnSpPr/>
      </xdr:nvCxnSpPr>
      <xdr:spPr>
        <a:xfrm>
          <a:off x="33337786" y="5742551"/>
          <a:ext cx="523428" cy="379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29705</xdr:colOff>
      <xdr:row>21</xdr:row>
      <xdr:rowOff>83088</xdr:rowOff>
    </xdr:from>
    <xdr:to>
      <xdr:col>22</xdr:col>
      <xdr:colOff>685921</xdr:colOff>
      <xdr:row>23</xdr:row>
      <xdr:rowOff>129231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AC68C59F-C0EF-664C-B547-AA02902D07B0}"/>
            </a:ext>
          </a:extLst>
        </xdr:cNvPr>
        <xdr:cNvCxnSpPr/>
      </xdr:nvCxnSpPr>
      <xdr:spPr>
        <a:xfrm flipV="1">
          <a:off x="33341805" y="6140988"/>
          <a:ext cx="516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38171</xdr:colOff>
      <xdr:row>23</xdr:row>
      <xdr:rowOff>133888</xdr:rowOff>
    </xdr:from>
    <xdr:to>
      <xdr:col>22</xdr:col>
      <xdr:colOff>678051</xdr:colOff>
      <xdr:row>25</xdr:row>
      <xdr:rowOff>107627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959C44C7-F383-A14E-AD19-A6A1BB8575B4}"/>
            </a:ext>
          </a:extLst>
        </xdr:cNvPr>
        <xdr:cNvCxnSpPr/>
      </xdr:nvCxnSpPr>
      <xdr:spPr>
        <a:xfrm>
          <a:off x="33350271" y="6598188"/>
          <a:ext cx="512880" cy="3801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21525</xdr:colOff>
      <xdr:row>25</xdr:row>
      <xdr:rowOff>172203</xdr:rowOff>
    </xdr:from>
    <xdr:to>
      <xdr:col>22</xdr:col>
      <xdr:colOff>688814</xdr:colOff>
      <xdr:row>27</xdr:row>
      <xdr:rowOff>121482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E4F4EA4C-070B-4A40-B918-B336E34B607C}"/>
            </a:ext>
          </a:extLst>
        </xdr:cNvPr>
        <xdr:cNvCxnSpPr/>
      </xdr:nvCxnSpPr>
      <xdr:spPr>
        <a:xfrm flipV="1">
          <a:off x="33333625" y="7042903"/>
          <a:ext cx="527589" cy="355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29991</xdr:colOff>
      <xdr:row>27</xdr:row>
      <xdr:rowOff>126139</xdr:rowOff>
    </xdr:from>
    <xdr:to>
      <xdr:col>22</xdr:col>
      <xdr:colOff>690393</xdr:colOff>
      <xdr:row>29</xdr:row>
      <xdr:rowOff>143072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1BA0EF7-1585-2943-B0C1-868E5DB0ACA3}"/>
            </a:ext>
          </a:extLst>
        </xdr:cNvPr>
        <xdr:cNvCxnSpPr/>
      </xdr:nvCxnSpPr>
      <xdr:spPr>
        <a:xfrm>
          <a:off x="33342091" y="7403239"/>
          <a:ext cx="5207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32288</xdr:colOff>
      <xdr:row>29</xdr:row>
      <xdr:rowOff>182966</xdr:rowOff>
    </xdr:from>
    <xdr:to>
      <xdr:col>22</xdr:col>
      <xdr:colOff>678051</xdr:colOff>
      <xdr:row>31</xdr:row>
      <xdr:rowOff>121482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9D6BF849-FA83-3843-A94A-858878CE3B1D}"/>
            </a:ext>
          </a:extLst>
        </xdr:cNvPr>
        <xdr:cNvCxnSpPr/>
      </xdr:nvCxnSpPr>
      <xdr:spPr>
        <a:xfrm flipV="1">
          <a:off x="33344388" y="7866466"/>
          <a:ext cx="518763" cy="3449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40754</xdr:colOff>
      <xdr:row>31</xdr:row>
      <xdr:rowOff>126139</xdr:rowOff>
    </xdr:from>
    <xdr:to>
      <xdr:col>22</xdr:col>
      <xdr:colOff>701156</xdr:colOff>
      <xdr:row>33</xdr:row>
      <xdr:rowOff>143072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BBBB316-347A-2A4B-95A6-3C897B1F7899}"/>
            </a:ext>
          </a:extLst>
        </xdr:cNvPr>
        <xdr:cNvCxnSpPr/>
      </xdr:nvCxnSpPr>
      <xdr:spPr>
        <a:xfrm>
          <a:off x="33352854" y="8216039"/>
          <a:ext cx="508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29</xdr:row>
      <xdr:rowOff>0</xdr:rowOff>
    </xdr:from>
    <xdr:to>
      <xdr:col>2</xdr:col>
      <xdr:colOff>635000</xdr:colOff>
      <xdr:row>32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E3836994-8DE8-4642-9BE1-7C0E62454111}"/>
            </a:ext>
          </a:extLst>
        </xdr:cNvPr>
        <xdr:cNvCxnSpPr/>
      </xdr:nvCxnSpPr>
      <xdr:spPr>
        <a:xfrm flipV="1">
          <a:off x="1892300" y="5740400"/>
          <a:ext cx="406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98621</xdr:colOff>
      <xdr:row>32</xdr:row>
      <xdr:rowOff>2248</xdr:rowOff>
    </xdr:from>
    <xdr:to>
      <xdr:col>2</xdr:col>
      <xdr:colOff>632021</xdr:colOff>
      <xdr:row>35</xdr:row>
      <xdr:rowOff>2248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76267B5-6A28-B244-BE7E-B0A273C73B2D}"/>
            </a:ext>
          </a:extLst>
        </xdr:cNvPr>
        <xdr:cNvCxnSpPr/>
      </xdr:nvCxnSpPr>
      <xdr:spPr>
        <a:xfrm>
          <a:off x="1889321" y="6352248"/>
          <a:ext cx="406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58012</xdr:colOff>
      <xdr:row>26</xdr:row>
      <xdr:rowOff>0</xdr:rowOff>
    </xdr:from>
    <xdr:to>
      <xdr:col>4</xdr:col>
      <xdr:colOff>591412</xdr:colOff>
      <xdr:row>29</xdr:row>
      <xdr:rowOff>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A4F0A3E-EB73-C54D-941B-12ED5189D54A}"/>
            </a:ext>
          </a:extLst>
        </xdr:cNvPr>
        <xdr:cNvCxnSpPr/>
      </xdr:nvCxnSpPr>
      <xdr:spPr>
        <a:xfrm flipV="1">
          <a:off x="3321912" y="5130800"/>
          <a:ext cx="4953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55033</xdr:colOff>
      <xdr:row>29</xdr:row>
      <xdr:rowOff>2249</xdr:rowOff>
    </xdr:from>
    <xdr:to>
      <xdr:col>4</xdr:col>
      <xdr:colOff>588433</xdr:colOff>
      <xdr:row>32</xdr:row>
      <xdr:rowOff>2248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C800161-E1C1-4D4F-A6B8-4C88943141A3}"/>
            </a:ext>
          </a:extLst>
        </xdr:cNvPr>
        <xdr:cNvCxnSpPr/>
      </xdr:nvCxnSpPr>
      <xdr:spPr>
        <a:xfrm>
          <a:off x="3318933" y="5742649"/>
          <a:ext cx="5080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49546</xdr:colOff>
      <xdr:row>31</xdr:row>
      <xdr:rowOff>194733</xdr:rowOff>
    </xdr:from>
    <xdr:to>
      <xdr:col>4</xdr:col>
      <xdr:colOff>582946</xdr:colOff>
      <xdr:row>35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57FAF10B-7C34-6748-A156-7A08644AF9C8}"/>
            </a:ext>
          </a:extLst>
        </xdr:cNvPr>
        <xdr:cNvCxnSpPr/>
      </xdr:nvCxnSpPr>
      <xdr:spPr>
        <a:xfrm flipV="1">
          <a:off x="3313446" y="6341533"/>
          <a:ext cx="5080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46567</xdr:colOff>
      <xdr:row>35</xdr:row>
      <xdr:rowOff>2248</xdr:rowOff>
    </xdr:from>
    <xdr:to>
      <xdr:col>4</xdr:col>
      <xdr:colOff>579967</xdr:colOff>
      <xdr:row>38</xdr:row>
      <xdr:rowOff>2248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971A8122-4928-164D-9D49-A1AFD25E7C19}"/>
            </a:ext>
          </a:extLst>
        </xdr:cNvPr>
        <xdr:cNvCxnSpPr/>
      </xdr:nvCxnSpPr>
      <xdr:spPr>
        <a:xfrm>
          <a:off x="3310467" y="6961848"/>
          <a:ext cx="5080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49546</xdr:colOff>
      <xdr:row>22</xdr:row>
      <xdr:rowOff>194733</xdr:rowOff>
    </xdr:from>
    <xdr:to>
      <xdr:col>6</xdr:col>
      <xdr:colOff>582946</xdr:colOff>
      <xdr:row>26</xdr:row>
      <xdr:rowOff>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D9CAB82-B5B3-2A4C-9C3D-A67AA93B2D92}"/>
            </a:ext>
          </a:extLst>
        </xdr:cNvPr>
        <xdr:cNvCxnSpPr/>
      </xdr:nvCxnSpPr>
      <xdr:spPr>
        <a:xfrm flipV="1">
          <a:off x="4494546" y="45127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46567</xdr:colOff>
      <xdr:row>26</xdr:row>
      <xdr:rowOff>2248</xdr:rowOff>
    </xdr:from>
    <xdr:to>
      <xdr:col>6</xdr:col>
      <xdr:colOff>579967</xdr:colOff>
      <xdr:row>29</xdr:row>
      <xdr:rowOff>2248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29A119B0-2AA3-C84F-9962-401A94473CEB}"/>
            </a:ext>
          </a:extLst>
        </xdr:cNvPr>
        <xdr:cNvCxnSpPr/>
      </xdr:nvCxnSpPr>
      <xdr:spPr>
        <a:xfrm>
          <a:off x="4491567" y="51330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49546</xdr:colOff>
      <xdr:row>29</xdr:row>
      <xdr:rowOff>0</xdr:rowOff>
    </xdr:from>
    <xdr:to>
      <xdr:col>6</xdr:col>
      <xdr:colOff>582946</xdr:colOff>
      <xdr:row>32</xdr:row>
      <xdr:rowOff>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45B3696-6C1E-6740-8B87-F86529168A7D}"/>
            </a:ext>
          </a:extLst>
        </xdr:cNvPr>
        <xdr:cNvCxnSpPr/>
      </xdr:nvCxnSpPr>
      <xdr:spPr>
        <a:xfrm flipV="1">
          <a:off x="4494546" y="57404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46567</xdr:colOff>
      <xdr:row>32</xdr:row>
      <xdr:rowOff>2248</xdr:rowOff>
    </xdr:from>
    <xdr:to>
      <xdr:col>6</xdr:col>
      <xdr:colOff>579967</xdr:colOff>
      <xdr:row>35</xdr:row>
      <xdr:rowOff>2248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E1AB69D-2F9C-3745-95FD-C5C77DA5B479}"/>
            </a:ext>
          </a:extLst>
        </xdr:cNvPr>
        <xdr:cNvCxnSpPr/>
      </xdr:nvCxnSpPr>
      <xdr:spPr>
        <a:xfrm>
          <a:off x="4491567" y="63522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41080</xdr:colOff>
      <xdr:row>35</xdr:row>
      <xdr:rowOff>0</xdr:rowOff>
    </xdr:from>
    <xdr:to>
      <xdr:col>6</xdr:col>
      <xdr:colOff>574480</xdr:colOff>
      <xdr:row>38</xdr:row>
      <xdr:rowOff>1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FDA22C2-78B0-1F45-B92E-BD13640A6763}"/>
            </a:ext>
          </a:extLst>
        </xdr:cNvPr>
        <xdr:cNvCxnSpPr/>
      </xdr:nvCxnSpPr>
      <xdr:spPr>
        <a:xfrm flipV="1">
          <a:off x="4486080" y="6959600"/>
          <a:ext cx="533400" cy="5969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38</xdr:row>
      <xdr:rowOff>2249</xdr:rowOff>
    </xdr:from>
    <xdr:to>
      <xdr:col>6</xdr:col>
      <xdr:colOff>571501</xdr:colOff>
      <xdr:row>41</xdr:row>
      <xdr:rowOff>2248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ADF25A7-21C1-B341-A572-F7A9268BFF5A}"/>
            </a:ext>
          </a:extLst>
        </xdr:cNvPr>
        <xdr:cNvCxnSpPr/>
      </xdr:nvCxnSpPr>
      <xdr:spPr>
        <a:xfrm>
          <a:off x="4483101" y="7558749"/>
          <a:ext cx="533400" cy="5968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41080</xdr:colOff>
      <xdr:row>20</xdr:row>
      <xdr:rowOff>0</xdr:rowOff>
    </xdr:from>
    <xdr:to>
      <xdr:col>8</xdr:col>
      <xdr:colOff>574480</xdr:colOff>
      <xdr:row>23</xdr:row>
      <xdr:rowOff>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9C9A5EDF-F3FB-1544-AC92-78928B8DDB92}"/>
            </a:ext>
          </a:extLst>
        </xdr:cNvPr>
        <xdr:cNvCxnSpPr/>
      </xdr:nvCxnSpPr>
      <xdr:spPr>
        <a:xfrm flipV="1">
          <a:off x="5806880" y="39116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38101</xdr:colOff>
      <xdr:row>23</xdr:row>
      <xdr:rowOff>2248</xdr:rowOff>
    </xdr:from>
    <xdr:to>
      <xdr:col>8</xdr:col>
      <xdr:colOff>571501</xdr:colOff>
      <xdr:row>26</xdr:row>
      <xdr:rowOff>2248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9BE60489-481A-0C4C-9E9D-915D0C5886FA}"/>
            </a:ext>
          </a:extLst>
        </xdr:cNvPr>
        <xdr:cNvCxnSpPr/>
      </xdr:nvCxnSpPr>
      <xdr:spPr>
        <a:xfrm>
          <a:off x="5803901" y="45234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49547</xdr:colOff>
      <xdr:row>26</xdr:row>
      <xdr:rowOff>0</xdr:rowOff>
    </xdr:from>
    <xdr:to>
      <xdr:col>8</xdr:col>
      <xdr:colOff>582947</xdr:colOff>
      <xdr:row>29</xdr:row>
      <xdr:rowOff>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C14D8379-2274-0D44-9107-D188A9F39263}"/>
            </a:ext>
          </a:extLst>
        </xdr:cNvPr>
        <xdr:cNvCxnSpPr/>
      </xdr:nvCxnSpPr>
      <xdr:spPr>
        <a:xfrm flipV="1">
          <a:off x="5815347" y="5130800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46568</xdr:colOff>
      <xdr:row>29</xdr:row>
      <xdr:rowOff>2249</xdr:rowOff>
    </xdr:from>
    <xdr:to>
      <xdr:col>8</xdr:col>
      <xdr:colOff>579968</xdr:colOff>
      <xdr:row>32</xdr:row>
      <xdr:rowOff>2248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1FF9D774-D8DC-2349-B514-A7E3E9040E8C}"/>
            </a:ext>
          </a:extLst>
        </xdr:cNvPr>
        <xdr:cNvCxnSpPr/>
      </xdr:nvCxnSpPr>
      <xdr:spPr>
        <a:xfrm>
          <a:off x="5812368" y="5742649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49547</xdr:colOff>
      <xdr:row>31</xdr:row>
      <xdr:rowOff>194733</xdr:rowOff>
    </xdr:from>
    <xdr:to>
      <xdr:col>8</xdr:col>
      <xdr:colOff>582947</xdr:colOff>
      <xdr:row>35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CB1E8888-B821-2643-8208-2E1C770B20A3}"/>
            </a:ext>
          </a:extLst>
        </xdr:cNvPr>
        <xdr:cNvCxnSpPr/>
      </xdr:nvCxnSpPr>
      <xdr:spPr>
        <a:xfrm flipV="1">
          <a:off x="5815347" y="63415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46568</xdr:colOff>
      <xdr:row>35</xdr:row>
      <xdr:rowOff>2248</xdr:rowOff>
    </xdr:from>
    <xdr:to>
      <xdr:col>8</xdr:col>
      <xdr:colOff>579968</xdr:colOff>
      <xdr:row>38</xdr:row>
      <xdr:rowOff>2248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3F88F1AD-2BCD-0943-AD32-BADB98A07FD7}"/>
            </a:ext>
          </a:extLst>
        </xdr:cNvPr>
        <xdr:cNvCxnSpPr/>
      </xdr:nvCxnSpPr>
      <xdr:spPr>
        <a:xfrm>
          <a:off x="5812368" y="69618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58014</xdr:colOff>
      <xdr:row>38</xdr:row>
      <xdr:rowOff>0</xdr:rowOff>
    </xdr:from>
    <xdr:to>
      <xdr:col>8</xdr:col>
      <xdr:colOff>591414</xdr:colOff>
      <xdr:row>41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96618ED-D9E9-824C-B7DE-1E24E0472B29}"/>
            </a:ext>
          </a:extLst>
        </xdr:cNvPr>
        <xdr:cNvCxnSpPr/>
      </xdr:nvCxnSpPr>
      <xdr:spPr>
        <a:xfrm flipV="1">
          <a:off x="5823814" y="7556500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55035</xdr:colOff>
      <xdr:row>41</xdr:row>
      <xdr:rowOff>2248</xdr:rowOff>
    </xdr:from>
    <xdr:to>
      <xdr:col>8</xdr:col>
      <xdr:colOff>588435</xdr:colOff>
      <xdr:row>44</xdr:row>
      <xdr:rowOff>2248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B6B2E27-8426-BE4C-A46E-6872E3C13274}"/>
            </a:ext>
          </a:extLst>
        </xdr:cNvPr>
        <xdr:cNvCxnSpPr/>
      </xdr:nvCxnSpPr>
      <xdr:spPr>
        <a:xfrm>
          <a:off x="5820835" y="81556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83414</xdr:colOff>
      <xdr:row>16</xdr:row>
      <xdr:rowOff>198966</xdr:rowOff>
    </xdr:from>
    <xdr:to>
      <xdr:col>10</xdr:col>
      <xdr:colOff>616814</xdr:colOff>
      <xdr:row>19</xdr:row>
      <xdr:rowOff>169333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F1290A2C-5E31-E04F-8502-1AAAEDFCE3DA}"/>
            </a:ext>
          </a:extLst>
        </xdr:cNvPr>
        <xdr:cNvCxnSpPr/>
      </xdr:nvCxnSpPr>
      <xdr:spPr>
        <a:xfrm flipV="1">
          <a:off x="7309714" y="3297766"/>
          <a:ext cx="419100" cy="5799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80435</xdr:colOff>
      <xdr:row>19</xdr:row>
      <xdr:rowOff>171581</xdr:rowOff>
    </xdr:from>
    <xdr:to>
      <xdr:col>10</xdr:col>
      <xdr:colOff>613835</xdr:colOff>
      <xdr:row>22</xdr:row>
      <xdr:rowOff>184281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161C2BAE-A0A0-CC4B-9F7E-57EE475B154A}"/>
            </a:ext>
          </a:extLst>
        </xdr:cNvPr>
        <xdr:cNvCxnSpPr/>
      </xdr:nvCxnSpPr>
      <xdr:spPr>
        <a:xfrm>
          <a:off x="7306735" y="3879981"/>
          <a:ext cx="431800" cy="6223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83414</xdr:colOff>
      <xdr:row>23</xdr:row>
      <xdr:rowOff>21166</xdr:rowOff>
    </xdr:from>
    <xdr:to>
      <xdr:col>10</xdr:col>
      <xdr:colOff>616814</xdr:colOff>
      <xdr:row>25</xdr:row>
      <xdr:rowOff>232833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CB713D9B-72B5-2E4A-8668-9CA077722B0A}"/>
            </a:ext>
          </a:extLst>
        </xdr:cNvPr>
        <xdr:cNvCxnSpPr/>
      </xdr:nvCxnSpPr>
      <xdr:spPr>
        <a:xfrm flipV="1">
          <a:off x="7309714" y="4542366"/>
          <a:ext cx="4191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80435</xdr:colOff>
      <xdr:row>25</xdr:row>
      <xdr:rowOff>235081</xdr:rowOff>
    </xdr:from>
    <xdr:to>
      <xdr:col>10</xdr:col>
      <xdr:colOff>613835</xdr:colOff>
      <xdr:row>28</xdr:row>
      <xdr:rowOff>196981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8FBCBA4A-3293-F943-8266-7892BAD7CC8B}"/>
            </a:ext>
          </a:extLst>
        </xdr:cNvPr>
        <xdr:cNvCxnSpPr/>
      </xdr:nvCxnSpPr>
      <xdr:spPr>
        <a:xfrm>
          <a:off x="7306735" y="5124581"/>
          <a:ext cx="4318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58014</xdr:colOff>
      <xdr:row>28</xdr:row>
      <xdr:rowOff>186266</xdr:rowOff>
    </xdr:from>
    <xdr:to>
      <xdr:col>10</xdr:col>
      <xdr:colOff>591414</xdr:colOff>
      <xdr:row>31</xdr:row>
      <xdr:rowOff>194733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1396AC03-09AB-2E46-B913-99656F2E95C3}"/>
            </a:ext>
          </a:extLst>
        </xdr:cNvPr>
        <xdr:cNvCxnSpPr/>
      </xdr:nvCxnSpPr>
      <xdr:spPr>
        <a:xfrm flipV="1">
          <a:off x="7284314" y="5723466"/>
          <a:ext cx="4445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55035</xdr:colOff>
      <xdr:row>31</xdr:row>
      <xdr:rowOff>196981</xdr:rowOff>
    </xdr:from>
    <xdr:to>
      <xdr:col>10</xdr:col>
      <xdr:colOff>588435</xdr:colOff>
      <xdr:row>34</xdr:row>
      <xdr:rowOff>196981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04E0325-37A6-5744-AEA5-5BF943ABC09D}"/>
            </a:ext>
          </a:extLst>
        </xdr:cNvPr>
        <xdr:cNvCxnSpPr/>
      </xdr:nvCxnSpPr>
      <xdr:spPr>
        <a:xfrm>
          <a:off x="7281335" y="6343781"/>
          <a:ext cx="4572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45314</xdr:colOff>
      <xdr:row>34</xdr:row>
      <xdr:rowOff>186266</xdr:rowOff>
    </xdr:from>
    <xdr:to>
      <xdr:col>10</xdr:col>
      <xdr:colOff>578714</xdr:colOff>
      <xdr:row>37</xdr:row>
      <xdr:rowOff>194733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E672199-DE49-E54F-9C32-D4651A615E5A}"/>
            </a:ext>
          </a:extLst>
        </xdr:cNvPr>
        <xdr:cNvCxnSpPr/>
      </xdr:nvCxnSpPr>
      <xdr:spPr>
        <a:xfrm flipV="1">
          <a:off x="7271614" y="6942666"/>
          <a:ext cx="4572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42335</xdr:colOff>
      <xdr:row>37</xdr:row>
      <xdr:rowOff>196981</xdr:rowOff>
    </xdr:from>
    <xdr:to>
      <xdr:col>10</xdr:col>
      <xdr:colOff>575735</xdr:colOff>
      <xdr:row>41</xdr:row>
      <xdr:rowOff>6481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B86223DE-5154-3745-B594-BCE3DB16CEBE}"/>
            </a:ext>
          </a:extLst>
        </xdr:cNvPr>
        <xdr:cNvCxnSpPr/>
      </xdr:nvCxnSpPr>
      <xdr:spPr>
        <a:xfrm>
          <a:off x="7268635" y="7550281"/>
          <a:ext cx="4699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58014</xdr:colOff>
      <xdr:row>40</xdr:row>
      <xdr:rowOff>173566</xdr:rowOff>
    </xdr:from>
    <xdr:to>
      <xdr:col>10</xdr:col>
      <xdr:colOff>591414</xdr:colOff>
      <xdr:row>44</xdr:row>
      <xdr:rowOff>4233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C1CDEC03-5F48-9647-B22F-4BBE60B01CDE}"/>
            </a:ext>
          </a:extLst>
        </xdr:cNvPr>
        <xdr:cNvCxnSpPr/>
      </xdr:nvCxnSpPr>
      <xdr:spPr>
        <a:xfrm flipV="1">
          <a:off x="7284314" y="8136466"/>
          <a:ext cx="4445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55035</xdr:colOff>
      <xdr:row>44</xdr:row>
      <xdr:rowOff>6481</xdr:rowOff>
    </xdr:from>
    <xdr:to>
      <xdr:col>10</xdr:col>
      <xdr:colOff>588435</xdr:colOff>
      <xdr:row>47</xdr:row>
      <xdr:rowOff>19181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4267FFE-7CD0-8443-A5E5-22C6F5A388C0}"/>
            </a:ext>
          </a:extLst>
        </xdr:cNvPr>
        <xdr:cNvCxnSpPr/>
      </xdr:nvCxnSpPr>
      <xdr:spPr>
        <a:xfrm>
          <a:off x="7281335" y="8756781"/>
          <a:ext cx="4572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29584</xdr:colOff>
      <xdr:row>48</xdr:row>
      <xdr:rowOff>67733</xdr:rowOff>
    </xdr:from>
    <xdr:to>
      <xdr:col>16</xdr:col>
      <xdr:colOff>685800</xdr:colOff>
      <xdr:row>50</xdr:row>
      <xdr:rowOff>113876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6927F090-76C0-BB4C-BB65-1EB41C28F045}"/>
            </a:ext>
          </a:extLst>
        </xdr:cNvPr>
        <xdr:cNvCxnSpPr/>
      </xdr:nvCxnSpPr>
      <xdr:spPr>
        <a:xfrm flipV="1">
          <a:off x="11357984" y="4588933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38050</xdr:colOff>
      <xdr:row>50</xdr:row>
      <xdr:rowOff>118533</xdr:rowOff>
    </xdr:from>
    <xdr:to>
      <xdr:col>16</xdr:col>
      <xdr:colOff>694266</xdr:colOff>
      <xdr:row>52</xdr:row>
      <xdr:rowOff>164676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E6572488-ED9D-AD4E-8F4E-06DB36586C2E}"/>
            </a:ext>
          </a:extLst>
        </xdr:cNvPr>
        <xdr:cNvCxnSpPr/>
      </xdr:nvCxnSpPr>
      <xdr:spPr>
        <a:xfrm>
          <a:off x="11366450" y="5046133"/>
          <a:ext cx="6308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76200</xdr:colOff>
      <xdr:row>46</xdr:row>
      <xdr:rowOff>59268</xdr:rowOff>
    </xdr:from>
    <xdr:to>
      <xdr:col>18</xdr:col>
      <xdr:colOff>711200</xdr:colOff>
      <xdr:row>48</xdr:row>
      <xdr:rowOff>84667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E0FCBA1-732D-AB4B-9D28-2510A411455C}"/>
            </a:ext>
          </a:extLst>
        </xdr:cNvPr>
        <xdr:cNvCxnSpPr/>
      </xdr:nvCxnSpPr>
      <xdr:spPr>
        <a:xfrm flipV="1">
          <a:off x="12750800" y="4174068"/>
          <a:ext cx="596900" cy="431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67734</xdr:colOff>
      <xdr:row>48</xdr:row>
      <xdr:rowOff>101600</xdr:rowOff>
    </xdr:from>
    <xdr:to>
      <xdr:col>18</xdr:col>
      <xdr:colOff>702733</xdr:colOff>
      <xdr:row>50</xdr:row>
      <xdr:rowOff>63075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F48FA803-5217-E14E-9CF3-913EB71E76D8}"/>
            </a:ext>
          </a:extLst>
        </xdr:cNvPr>
        <xdr:cNvCxnSpPr/>
      </xdr:nvCxnSpPr>
      <xdr:spPr>
        <a:xfrm>
          <a:off x="12742334" y="4622800"/>
          <a:ext cx="609599" cy="367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38051</xdr:colOff>
      <xdr:row>50</xdr:row>
      <xdr:rowOff>110067</xdr:rowOff>
    </xdr:from>
    <xdr:to>
      <xdr:col>18</xdr:col>
      <xdr:colOff>702734</xdr:colOff>
      <xdr:row>52</xdr:row>
      <xdr:rowOff>113877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5DFA821E-F732-364F-AA92-3014248F5BC1}"/>
            </a:ext>
          </a:extLst>
        </xdr:cNvPr>
        <xdr:cNvCxnSpPr/>
      </xdr:nvCxnSpPr>
      <xdr:spPr>
        <a:xfrm flipV="1">
          <a:off x="12712651" y="5037667"/>
          <a:ext cx="639283" cy="4102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46517</xdr:colOff>
      <xdr:row>52</xdr:row>
      <xdr:rowOff>118533</xdr:rowOff>
    </xdr:from>
    <xdr:to>
      <xdr:col>18</xdr:col>
      <xdr:colOff>711200</xdr:colOff>
      <xdr:row>54</xdr:row>
      <xdr:rowOff>127000</xdr:rowOff>
    </xdr:to>
    <xdr:cxnSp macro="">
      <xdr:nvCxnSpPr>
        <xdr:cNvPr id="67" name="Straight Arrow Connector 66">
          <a:extLst>
            <a:ext uri="{FF2B5EF4-FFF2-40B4-BE49-F238E27FC236}">
              <a16:creationId xmlns:a16="http://schemas.microsoft.com/office/drawing/2014/main" id="{4C7BF0E5-51A7-E449-BD59-5C66B1C41281}"/>
            </a:ext>
          </a:extLst>
        </xdr:cNvPr>
        <xdr:cNvCxnSpPr/>
      </xdr:nvCxnSpPr>
      <xdr:spPr>
        <a:xfrm>
          <a:off x="12721117" y="5452533"/>
          <a:ext cx="626583" cy="4148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33866</xdr:colOff>
      <xdr:row>44</xdr:row>
      <xdr:rowOff>50800</xdr:rowOff>
    </xdr:from>
    <xdr:to>
      <xdr:col>20</xdr:col>
      <xdr:colOff>690082</xdr:colOff>
      <xdr:row>46</xdr:row>
      <xdr:rowOff>96943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87126A28-FD4E-C946-8629-74C5B3E00A56}"/>
            </a:ext>
          </a:extLst>
        </xdr:cNvPr>
        <xdr:cNvCxnSpPr/>
      </xdr:nvCxnSpPr>
      <xdr:spPr>
        <a:xfrm flipV="1">
          <a:off x="14054666" y="3759200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42332</xdr:colOff>
      <xdr:row>46</xdr:row>
      <xdr:rowOff>101600</xdr:rowOff>
    </xdr:from>
    <xdr:to>
      <xdr:col>20</xdr:col>
      <xdr:colOff>702734</xdr:colOff>
      <xdr:row>48</xdr:row>
      <xdr:rowOff>118533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353F03A7-FC37-9E4F-BF2A-2E4941DBC00B}"/>
            </a:ext>
          </a:extLst>
        </xdr:cNvPr>
        <xdr:cNvCxnSpPr/>
      </xdr:nvCxnSpPr>
      <xdr:spPr>
        <a:xfrm>
          <a:off x="14063132" y="4216400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48</xdr:row>
      <xdr:rowOff>160868</xdr:rowOff>
    </xdr:from>
    <xdr:to>
      <xdr:col>20</xdr:col>
      <xdr:colOff>690082</xdr:colOff>
      <xdr:row>50</xdr:row>
      <xdr:rowOff>110067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2C69133E-4FC5-194A-A932-D282B5C18913}"/>
            </a:ext>
          </a:extLst>
        </xdr:cNvPr>
        <xdr:cNvCxnSpPr/>
      </xdr:nvCxnSpPr>
      <xdr:spPr>
        <a:xfrm flipV="1">
          <a:off x="14071600" y="4682068"/>
          <a:ext cx="626582" cy="355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67734</xdr:colOff>
      <xdr:row>50</xdr:row>
      <xdr:rowOff>118533</xdr:rowOff>
    </xdr:from>
    <xdr:to>
      <xdr:col>20</xdr:col>
      <xdr:colOff>698548</xdr:colOff>
      <xdr:row>52</xdr:row>
      <xdr:rowOff>130805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BBC6C930-735C-3B40-BEB3-4F77DDFD634D}"/>
            </a:ext>
          </a:extLst>
        </xdr:cNvPr>
        <xdr:cNvCxnSpPr/>
      </xdr:nvCxnSpPr>
      <xdr:spPr>
        <a:xfrm>
          <a:off x="14088534" y="5046133"/>
          <a:ext cx="605414" cy="4186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59267</xdr:colOff>
      <xdr:row>52</xdr:row>
      <xdr:rowOff>152401</xdr:rowOff>
    </xdr:from>
    <xdr:to>
      <xdr:col>20</xdr:col>
      <xdr:colOff>707015</xdr:colOff>
      <xdr:row>54</xdr:row>
      <xdr:rowOff>118533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AFAA9E28-A830-3E4D-8DAC-DE6CC14F981D}"/>
            </a:ext>
          </a:extLst>
        </xdr:cNvPr>
        <xdr:cNvCxnSpPr/>
      </xdr:nvCxnSpPr>
      <xdr:spPr>
        <a:xfrm flipV="1">
          <a:off x="14080067" y="5486401"/>
          <a:ext cx="609648" cy="372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54</xdr:row>
      <xdr:rowOff>127000</xdr:rowOff>
    </xdr:from>
    <xdr:to>
      <xdr:col>20</xdr:col>
      <xdr:colOff>690081</xdr:colOff>
      <xdr:row>56</xdr:row>
      <xdr:rowOff>156209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8418DA4B-CE05-6446-8D87-C479F459C319}"/>
            </a:ext>
          </a:extLst>
        </xdr:cNvPr>
        <xdr:cNvCxnSpPr/>
      </xdr:nvCxnSpPr>
      <xdr:spPr>
        <a:xfrm>
          <a:off x="14097000" y="5867400"/>
          <a:ext cx="601181" cy="435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17220</xdr:colOff>
      <xdr:row>42</xdr:row>
      <xdr:rowOff>27551</xdr:rowOff>
    </xdr:from>
    <xdr:to>
      <xdr:col>22</xdr:col>
      <xdr:colOff>673436</xdr:colOff>
      <xdr:row>44</xdr:row>
      <xdr:rowOff>73694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6BA333EE-10DF-D34B-B0A7-428B84D3E588}"/>
            </a:ext>
          </a:extLst>
        </xdr:cNvPr>
        <xdr:cNvCxnSpPr/>
      </xdr:nvCxnSpPr>
      <xdr:spPr>
        <a:xfrm flipV="1">
          <a:off x="15384220" y="33295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25686</xdr:colOff>
      <xdr:row>44</xdr:row>
      <xdr:rowOff>78351</xdr:rowOff>
    </xdr:from>
    <xdr:to>
      <xdr:col>22</xdr:col>
      <xdr:colOff>688814</xdr:colOff>
      <xdr:row>46</xdr:row>
      <xdr:rowOff>64576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D23BF51D-BA44-E84F-A4AB-4DD8C8FAA611}"/>
            </a:ext>
          </a:extLst>
        </xdr:cNvPr>
        <xdr:cNvCxnSpPr/>
      </xdr:nvCxnSpPr>
      <xdr:spPr>
        <a:xfrm>
          <a:off x="15392686" y="37867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29705</xdr:colOff>
      <xdr:row>46</xdr:row>
      <xdr:rowOff>83088</xdr:rowOff>
    </xdr:from>
    <xdr:to>
      <xdr:col>22</xdr:col>
      <xdr:colOff>685921</xdr:colOff>
      <xdr:row>48</xdr:row>
      <xdr:rowOff>129231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AC0365A3-619E-AC47-A4E0-48CD508EDE40}"/>
            </a:ext>
          </a:extLst>
        </xdr:cNvPr>
        <xdr:cNvCxnSpPr/>
      </xdr:nvCxnSpPr>
      <xdr:spPr>
        <a:xfrm flipV="1">
          <a:off x="15396705" y="4197888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38171</xdr:colOff>
      <xdr:row>48</xdr:row>
      <xdr:rowOff>133888</xdr:rowOff>
    </xdr:from>
    <xdr:to>
      <xdr:col>22</xdr:col>
      <xdr:colOff>678051</xdr:colOff>
      <xdr:row>50</xdr:row>
      <xdr:rowOff>107627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EFAA984E-8C73-DD47-8F77-4A7C027D3EE2}"/>
            </a:ext>
          </a:extLst>
        </xdr:cNvPr>
        <xdr:cNvCxnSpPr/>
      </xdr:nvCxnSpPr>
      <xdr:spPr>
        <a:xfrm>
          <a:off x="15405171" y="4655088"/>
          <a:ext cx="639880" cy="3801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21525</xdr:colOff>
      <xdr:row>50</xdr:row>
      <xdr:rowOff>172203</xdr:rowOff>
    </xdr:from>
    <xdr:to>
      <xdr:col>22</xdr:col>
      <xdr:colOff>688814</xdr:colOff>
      <xdr:row>52</xdr:row>
      <xdr:rowOff>121482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8552F18A-234A-6045-A41B-0CC00A131450}"/>
            </a:ext>
          </a:extLst>
        </xdr:cNvPr>
        <xdr:cNvCxnSpPr/>
      </xdr:nvCxnSpPr>
      <xdr:spPr>
        <a:xfrm flipV="1">
          <a:off x="15388525" y="5099803"/>
          <a:ext cx="654589" cy="355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29991</xdr:colOff>
      <xdr:row>52</xdr:row>
      <xdr:rowOff>126139</xdr:rowOff>
    </xdr:from>
    <xdr:to>
      <xdr:col>22</xdr:col>
      <xdr:colOff>690393</xdr:colOff>
      <xdr:row>54</xdr:row>
      <xdr:rowOff>143072</xdr:rowOff>
    </xdr:to>
    <xdr:cxnSp macro="">
      <xdr:nvCxnSpPr>
        <xdr:cNvPr id="79" name="Straight Arrow Connector 78">
          <a:extLst>
            <a:ext uri="{FF2B5EF4-FFF2-40B4-BE49-F238E27FC236}">
              <a16:creationId xmlns:a16="http://schemas.microsoft.com/office/drawing/2014/main" id="{F5F6F9A3-3A39-F04A-BFC2-8619DAA4B472}"/>
            </a:ext>
          </a:extLst>
        </xdr:cNvPr>
        <xdr:cNvCxnSpPr/>
      </xdr:nvCxnSpPr>
      <xdr:spPr>
        <a:xfrm>
          <a:off x="15396991" y="5460139"/>
          <a:ext cx="6477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32288</xdr:colOff>
      <xdr:row>54</xdr:row>
      <xdr:rowOff>182966</xdr:rowOff>
    </xdr:from>
    <xdr:to>
      <xdr:col>22</xdr:col>
      <xdr:colOff>678051</xdr:colOff>
      <xdr:row>56</xdr:row>
      <xdr:rowOff>121482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14593F1E-5DDC-D64C-A6F0-9D3CE910AA9C}"/>
            </a:ext>
          </a:extLst>
        </xdr:cNvPr>
        <xdr:cNvCxnSpPr/>
      </xdr:nvCxnSpPr>
      <xdr:spPr>
        <a:xfrm flipV="1">
          <a:off x="15399288" y="5923366"/>
          <a:ext cx="645763" cy="3449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40754</xdr:colOff>
      <xdr:row>56</xdr:row>
      <xdr:rowOff>126139</xdr:rowOff>
    </xdr:from>
    <xdr:to>
      <xdr:col>22</xdr:col>
      <xdr:colOff>701156</xdr:colOff>
      <xdr:row>58</xdr:row>
      <xdr:rowOff>143072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374F49BA-FA7E-6748-8070-0E7B8926C0A4}"/>
            </a:ext>
          </a:extLst>
        </xdr:cNvPr>
        <xdr:cNvCxnSpPr/>
      </xdr:nvCxnSpPr>
      <xdr:spPr>
        <a:xfrm>
          <a:off x="15407754" y="6272939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29584</xdr:colOff>
      <xdr:row>23</xdr:row>
      <xdr:rowOff>67733</xdr:rowOff>
    </xdr:from>
    <xdr:to>
      <xdr:col>16</xdr:col>
      <xdr:colOff>685800</xdr:colOff>
      <xdr:row>25</xdr:row>
      <xdr:rowOff>113876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24DCAFB2-F7A9-5B4F-A269-35C4E49D9D15}"/>
            </a:ext>
          </a:extLst>
        </xdr:cNvPr>
        <xdr:cNvCxnSpPr/>
      </xdr:nvCxnSpPr>
      <xdr:spPr>
        <a:xfrm flipV="1">
          <a:off x="11548484" y="3649133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38050</xdr:colOff>
      <xdr:row>25</xdr:row>
      <xdr:rowOff>118533</xdr:rowOff>
    </xdr:from>
    <xdr:to>
      <xdr:col>16</xdr:col>
      <xdr:colOff>694266</xdr:colOff>
      <xdr:row>27</xdr:row>
      <xdr:rowOff>164676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D2AED334-AAF8-DF43-BAD5-AFB5F263547D}"/>
            </a:ext>
          </a:extLst>
        </xdr:cNvPr>
        <xdr:cNvCxnSpPr/>
      </xdr:nvCxnSpPr>
      <xdr:spPr>
        <a:xfrm>
          <a:off x="11556950" y="4106333"/>
          <a:ext cx="6308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76200</xdr:colOff>
      <xdr:row>21</xdr:row>
      <xdr:rowOff>59268</xdr:rowOff>
    </xdr:from>
    <xdr:to>
      <xdr:col>18</xdr:col>
      <xdr:colOff>711200</xdr:colOff>
      <xdr:row>23</xdr:row>
      <xdr:rowOff>84667</xdr:rowOff>
    </xdr:to>
    <xdr:cxnSp macro="">
      <xdr:nvCxnSpPr>
        <xdr:cNvPr id="84" name="Straight Arrow Connector 83">
          <a:extLst>
            <a:ext uri="{FF2B5EF4-FFF2-40B4-BE49-F238E27FC236}">
              <a16:creationId xmlns:a16="http://schemas.microsoft.com/office/drawing/2014/main" id="{1A36838E-35E7-4843-A08E-4B3284E4C251}"/>
            </a:ext>
          </a:extLst>
        </xdr:cNvPr>
        <xdr:cNvCxnSpPr/>
      </xdr:nvCxnSpPr>
      <xdr:spPr>
        <a:xfrm flipV="1">
          <a:off x="12941300" y="3234268"/>
          <a:ext cx="596900" cy="431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67734</xdr:colOff>
      <xdr:row>23</xdr:row>
      <xdr:rowOff>101600</xdr:rowOff>
    </xdr:from>
    <xdr:to>
      <xdr:col>18</xdr:col>
      <xdr:colOff>702733</xdr:colOff>
      <xdr:row>25</xdr:row>
      <xdr:rowOff>63075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C83EE846-3268-5A41-986E-84D271A4A3FC}"/>
            </a:ext>
          </a:extLst>
        </xdr:cNvPr>
        <xdr:cNvCxnSpPr/>
      </xdr:nvCxnSpPr>
      <xdr:spPr>
        <a:xfrm>
          <a:off x="12932834" y="3683000"/>
          <a:ext cx="609599" cy="367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38051</xdr:colOff>
      <xdr:row>25</xdr:row>
      <xdr:rowOff>110067</xdr:rowOff>
    </xdr:from>
    <xdr:to>
      <xdr:col>18</xdr:col>
      <xdr:colOff>702734</xdr:colOff>
      <xdr:row>27</xdr:row>
      <xdr:rowOff>113877</xdr:rowOff>
    </xdr:to>
    <xdr:cxnSp macro="">
      <xdr:nvCxnSpPr>
        <xdr:cNvPr id="86" name="Straight Arrow Connector 85">
          <a:extLst>
            <a:ext uri="{FF2B5EF4-FFF2-40B4-BE49-F238E27FC236}">
              <a16:creationId xmlns:a16="http://schemas.microsoft.com/office/drawing/2014/main" id="{D9333454-E2F6-1D46-A4EC-F4992A594D39}"/>
            </a:ext>
          </a:extLst>
        </xdr:cNvPr>
        <xdr:cNvCxnSpPr/>
      </xdr:nvCxnSpPr>
      <xdr:spPr>
        <a:xfrm flipV="1">
          <a:off x="12903151" y="4097867"/>
          <a:ext cx="639283" cy="4102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46517</xdr:colOff>
      <xdr:row>27</xdr:row>
      <xdr:rowOff>118533</xdr:rowOff>
    </xdr:from>
    <xdr:to>
      <xdr:col>18</xdr:col>
      <xdr:colOff>711200</xdr:colOff>
      <xdr:row>29</xdr:row>
      <xdr:rowOff>127000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3B9CA0C5-1049-084D-98B0-6434B3382F0D}"/>
            </a:ext>
          </a:extLst>
        </xdr:cNvPr>
        <xdr:cNvCxnSpPr/>
      </xdr:nvCxnSpPr>
      <xdr:spPr>
        <a:xfrm>
          <a:off x="12911617" y="4512733"/>
          <a:ext cx="626583" cy="4148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33866</xdr:colOff>
      <xdr:row>19</xdr:row>
      <xdr:rowOff>50800</xdr:rowOff>
    </xdr:from>
    <xdr:to>
      <xdr:col>20</xdr:col>
      <xdr:colOff>690082</xdr:colOff>
      <xdr:row>21</xdr:row>
      <xdr:rowOff>96943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7BE6F815-AFB0-9245-B8EA-053D3CE9542D}"/>
            </a:ext>
          </a:extLst>
        </xdr:cNvPr>
        <xdr:cNvCxnSpPr/>
      </xdr:nvCxnSpPr>
      <xdr:spPr>
        <a:xfrm flipV="1">
          <a:off x="14245166" y="2819400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42332</xdr:colOff>
      <xdr:row>21</xdr:row>
      <xdr:rowOff>101600</xdr:rowOff>
    </xdr:from>
    <xdr:to>
      <xdr:col>20</xdr:col>
      <xdr:colOff>702734</xdr:colOff>
      <xdr:row>23</xdr:row>
      <xdr:rowOff>118533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4A98FCD2-6678-8440-BCF9-C0CE04A3800C}"/>
            </a:ext>
          </a:extLst>
        </xdr:cNvPr>
        <xdr:cNvCxnSpPr/>
      </xdr:nvCxnSpPr>
      <xdr:spPr>
        <a:xfrm>
          <a:off x="14253632" y="3276600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23</xdr:row>
      <xdr:rowOff>160868</xdr:rowOff>
    </xdr:from>
    <xdr:to>
      <xdr:col>20</xdr:col>
      <xdr:colOff>690082</xdr:colOff>
      <xdr:row>25</xdr:row>
      <xdr:rowOff>110067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9C77848-E4BB-CF4A-A0C7-67594D2FC366}"/>
            </a:ext>
          </a:extLst>
        </xdr:cNvPr>
        <xdr:cNvCxnSpPr/>
      </xdr:nvCxnSpPr>
      <xdr:spPr>
        <a:xfrm flipV="1">
          <a:off x="14262100" y="3742268"/>
          <a:ext cx="626582" cy="355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67734</xdr:colOff>
      <xdr:row>25</xdr:row>
      <xdr:rowOff>118533</xdr:rowOff>
    </xdr:from>
    <xdr:to>
      <xdr:col>20</xdr:col>
      <xdr:colOff>698548</xdr:colOff>
      <xdr:row>27</xdr:row>
      <xdr:rowOff>130805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F8C3BAE0-ACB9-7246-908D-C169A6CE3035}"/>
            </a:ext>
          </a:extLst>
        </xdr:cNvPr>
        <xdr:cNvCxnSpPr/>
      </xdr:nvCxnSpPr>
      <xdr:spPr>
        <a:xfrm>
          <a:off x="14279034" y="4106333"/>
          <a:ext cx="605414" cy="4186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59267</xdr:colOff>
      <xdr:row>27</xdr:row>
      <xdr:rowOff>152401</xdr:rowOff>
    </xdr:from>
    <xdr:to>
      <xdr:col>20</xdr:col>
      <xdr:colOff>707015</xdr:colOff>
      <xdr:row>29</xdr:row>
      <xdr:rowOff>118533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29E41344-7983-D249-9E14-A74DD4AA37A4}"/>
            </a:ext>
          </a:extLst>
        </xdr:cNvPr>
        <xdr:cNvCxnSpPr/>
      </xdr:nvCxnSpPr>
      <xdr:spPr>
        <a:xfrm flipV="1">
          <a:off x="14270567" y="4546601"/>
          <a:ext cx="609648" cy="372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29</xdr:row>
      <xdr:rowOff>127000</xdr:rowOff>
    </xdr:from>
    <xdr:to>
      <xdr:col>20</xdr:col>
      <xdr:colOff>690081</xdr:colOff>
      <xdr:row>31</xdr:row>
      <xdr:rowOff>156209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1EF1E685-FD1F-434B-BDD2-54330261F2F6}"/>
            </a:ext>
          </a:extLst>
        </xdr:cNvPr>
        <xdr:cNvCxnSpPr/>
      </xdr:nvCxnSpPr>
      <xdr:spPr>
        <a:xfrm>
          <a:off x="14287500" y="4927600"/>
          <a:ext cx="601181" cy="435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17220</xdr:colOff>
      <xdr:row>17</xdr:row>
      <xdr:rowOff>27551</xdr:rowOff>
    </xdr:from>
    <xdr:to>
      <xdr:col>22</xdr:col>
      <xdr:colOff>673436</xdr:colOff>
      <xdr:row>19</xdr:row>
      <xdr:rowOff>73694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14E88DBD-090D-6143-B86F-47FEA6A55134}"/>
            </a:ext>
          </a:extLst>
        </xdr:cNvPr>
        <xdr:cNvCxnSpPr/>
      </xdr:nvCxnSpPr>
      <xdr:spPr>
        <a:xfrm flipV="1">
          <a:off x="15574720" y="23897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25686</xdr:colOff>
      <xdr:row>19</xdr:row>
      <xdr:rowOff>78351</xdr:rowOff>
    </xdr:from>
    <xdr:to>
      <xdr:col>22</xdr:col>
      <xdr:colOff>688814</xdr:colOff>
      <xdr:row>21</xdr:row>
      <xdr:rowOff>64576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8D54D780-9E18-5943-B028-3FE5CB5D2037}"/>
            </a:ext>
          </a:extLst>
        </xdr:cNvPr>
        <xdr:cNvCxnSpPr/>
      </xdr:nvCxnSpPr>
      <xdr:spPr>
        <a:xfrm>
          <a:off x="15583186" y="2846951"/>
          <a:ext cx="650428" cy="392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29705</xdr:colOff>
      <xdr:row>21</xdr:row>
      <xdr:rowOff>83088</xdr:rowOff>
    </xdr:from>
    <xdr:to>
      <xdr:col>22</xdr:col>
      <xdr:colOff>685921</xdr:colOff>
      <xdr:row>23</xdr:row>
      <xdr:rowOff>129231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FDFC06BB-5E59-DA4A-BE9E-ECA37BAABC19}"/>
            </a:ext>
          </a:extLst>
        </xdr:cNvPr>
        <xdr:cNvCxnSpPr/>
      </xdr:nvCxnSpPr>
      <xdr:spPr>
        <a:xfrm flipV="1">
          <a:off x="15587205" y="3258088"/>
          <a:ext cx="6435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38171</xdr:colOff>
      <xdr:row>23</xdr:row>
      <xdr:rowOff>133888</xdr:rowOff>
    </xdr:from>
    <xdr:to>
      <xdr:col>22</xdr:col>
      <xdr:colOff>678051</xdr:colOff>
      <xdr:row>25</xdr:row>
      <xdr:rowOff>107627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CBDE869F-4ACA-874F-89B3-D1A63FF6B609}"/>
            </a:ext>
          </a:extLst>
        </xdr:cNvPr>
        <xdr:cNvCxnSpPr/>
      </xdr:nvCxnSpPr>
      <xdr:spPr>
        <a:xfrm>
          <a:off x="15595671" y="3715288"/>
          <a:ext cx="639880" cy="3801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21525</xdr:colOff>
      <xdr:row>25</xdr:row>
      <xdr:rowOff>172203</xdr:rowOff>
    </xdr:from>
    <xdr:to>
      <xdr:col>22</xdr:col>
      <xdr:colOff>688814</xdr:colOff>
      <xdr:row>27</xdr:row>
      <xdr:rowOff>121482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FF97B515-4B29-C946-96F5-B7E6B4E9D69A}"/>
            </a:ext>
          </a:extLst>
        </xdr:cNvPr>
        <xdr:cNvCxnSpPr/>
      </xdr:nvCxnSpPr>
      <xdr:spPr>
        <a:xfrm flipV="1">
          <a:off x="15579025" y="4160003"/>
          <a:ext cx="654589" cy="355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29991</xdr:colOff>
      <xdr:row>27</xdr:row>
      <xdr:rowOff>126139</xdr:rowOff>
    </xdr:from>
    <xdr:to>
      <xdr:col>22</xdr:col>
      <xdr:colOff>690393</xdr:colOff>
      <xdr:row>29</xdr:row>
      <xdr:rowOff>143072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555F3617-EEF6-CF44-ADA0-17B216595F7E}"/>
            </a:ext>
          </a:extLst>
        </xdr:cNvPr>
        <xdr:cNvCxnSpPr/>
      </xdr:nvCxnSpPr>
      <xdr:spPr>
        <a:xfrm>
          <a:off x="15587491" y="4520339"/>
          <a:ext cx="6477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32288</xdr:colOff>
      <xdr:row>29</xdr:row>
      <xdr:rowOff>182966</xdr:rowOff>
    </xdr:from>
    <xdr:to>
      <xdr:col>22</xdr:col>
      <xdr:colOff>678051</xdr:colOff>
      <xdr:row>31</xdr:row>
      <xdr:rowOff>121482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FBB63C08-F100-4043-A4D2-C4D5CA48A72F}"/>
            </a:ext>
          </a:extLst>
        </xdr:cNvPr>
        <xdr:cNvCxnSpPr/>
      </xdr:nvCxnSpPr>
      <xdr:spPr>
        <a:xfrm flipV="1">
          <a:off x="15589788" y="4983566"/>
          <a:ext cx="645763" cy="3449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40754</xdr:colOff>
      <xdr:row>31</xdr:row>
      <xdr:rowOff>126139</xdr:rowOff>
    </xdr:from>
    <xdr:to>
      <xdr:col>22</xdr:col>
      <xdr:colOff>701156</xdr:colOff>
      <xdr:row>33</xdr:row>
      <xdr:rowOff>143072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A953F465-E2FE-3943-8A54-012D5117D88D}"/>
            </a:ext>
          </a:extLst>
        </xdr:cNvPr>
        <xdr:cNvCxnSpPr/>
      </xdr:nvCxnSpPr>
      <xdr:spPr>
        <a:xfrm>
          <a:off x="15598254" y="5333139"/>
          <a:ext cx="6350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0</xdr:colOff>
      <xdr:row>54</xdr:row>
      <xdr:rowOff>4486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06B606-C167-8944-B265-27854EAA78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49999"/>
        <a:stretch/>
      </xdr:blipFill>
      <xdr:spPr>
        <a:xfrm>
          <a:off x="0" y="0"/>
          <a:ext cx="20193000" cy="10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24</xdr:row>
      <xdr:rowOff>0</xdr:rowOff>
    </xdr:from>
    <xdr:to>
      <xdr:col>3</xdr:col>
      <xdr:colOff>635000</xdr:colOff>
      <xdr:row>27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4D28A3B-2F79-2945-83B0-CB106BA9B94F}"/>
            </a:ext>
          </a:extLst>
        </xdr:cNvPr>
        <xdr:cNvCxnSpPr/>
      </xdr:nvCxnSpPr>
      <xdr:spPr>
        <a:xfrm flipV="1">
          <a:off x="4419600" y="76835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98621</xdr:colOff>
      <xdr:row>27</xdr:row>
      <xdr:rowOff>2248</xdr:rowOff>
    </xdr:from>
    <xdr:to>
      <xdr:col>3</xdr:col>
      <xdr:colOff>632021</xdr:colOff>
      <xdr:row>30</xdr:row>
      <xdr:rowOff>2248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ED17509-8CDD-7B43-B5FC-FEB8D1041BA3}"/>
            </a:ext>
          </a:extLst>
        </xdr:cNvPr>
        <xdr:cNvCxnSpPr/>
      </xdr:nvCxnSpPr>
      <xdr:spPr>
        <a:xfrm>
          <a:off x="4416621" y="82953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58012</xdr:colOff>
      <xdr:row>21</xdr:row>
      <xdr:rowOff>0</xdr:rowOff>
    </xdr:from>
    <xdr:to>
      <xdr:col>5</xdr:col>
      <xdr:colOff>591412</xdr:colOff>
      <xdr:row>24</xdr:row>
      <xdr:rowOff>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71BBD-48AB-2241-B339-570610E3225D}"/>
            </a:ext>
          </a:extLst>
        </xdr:cNvPr>
        <xdr:cNvCxnSpPr/>
      </xdr:nvCxnSpPr>
      <xdr:spPr>
        <a:xfrm flipV="1">
          <a:off x="6192112" y="7073900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55033</xdr:colOff>
      <xdr:row>24</xdr:row>
      <xdr:rowOff>2249</xdr:rowOff>
    </xdr:from>
    <xdr:to>
      <xdr:col>5</xdr:col>
      <xdr:colOff>588433</xdr:colOff>
      <xdr:row>27</xdr:row>
      <xdr:rowOff>2248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8C75296-CCA2-DE4D-8265-86C654B560D7}"/>
            </a:ext>
          </a:extLst>
        </xdr:cNvPr>
        <xdr:cNvCxnSpPr/>
      </xdr:nvCxnSpPr>
      <xdr:spPr>
        <a:xfrm>
          <a:off x="6189133" y="7685749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49546</xdr:colOff>
      <xdr:row>26</xdr:row>
      <xdr:rowOff>194733</xdr:rowOff>
    </xdr:from>
    <xdr:to>
      <xdr:col>5</xdr:col>
      <xdr:colOff>582946</xdr:colOff>
      <xdr:row>30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11BFFB3-351C-A646-A423-FB75055104AB}"/>
            </a:ext>
          </a:extLst>
        </xdr:cNvPr>
        <xdr:cNvCxnSpPr/>
      </xdr:nvCxnSpPr>
      <xdr:spPr>
        <a:xfrm flipV="1">
          <a:off x="6183646" y="82846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46567</xdr:colOff>
      <xdr:row>30</xdr:row>
      <xdr:rowOff>2248</xdr:rowOff>
    </xdr:from>
    <xdr:to>
      <xdr:col>5</xdr:col>
      <xdr:colOff>579967</xdr:colOff>
      <xdr:row>33</xdr:row>
      <xdr:rowOff>2248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71D6C91F-DE3F-D040-A55C-D2D69168704D}"/>
            </a:ext>
          </a:extLst>
        </xdr:cNvPr>
        <xdr:cNvCxnSpPr/>
      </xdr:nvCxnSpPr>
      <xdr:spPr>
        <a:xfrm>
          <a:off x="6180667" y="89049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49546</xdr:colOff>
      <xdr:row>17</xdr:row>
      <xdr:rowOff>194733</xdr:rowOff>
    </xdr:from>
    <xdr:to>
      <xdr:col>7</xdr:col>
      <xdr:colOff>582946</xdr:colOff>
      <xdr:row>21</xdr:row>
      <xdr:rowOff>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1B61FE7-BA56-8640-8AFE-E99B42BAE4A2}"/>
            </a:ext>
          </a:extLst>
        </xdr:cNvPr>
        <xdr:cNvCxnSpPr/>
      </xdr:nvCxnSpPr>
      <xdr:spPr>
        <a:xfrm flipV="1">
          <a:off x="7999746" y="64558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46567</xdr:colOff>
      <xdr:row>21</xdr:row>
      <xdr:rowOff>2248</xdr:rowOff>
    </xdr:from>
    <xdr:to>
      <xdr:col>7</xdr:col>
      <xdr:colOff>579967</xdr:colOff>
      <xdr:row>24</xdr:row>
      <xdr:rowOff>2248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A5BC0D8-C30E-B741-82B1-C5D934FB2554}"/>
            </a:ext>
          </a:extLst>
        </xdr:cNvPr>
        <xdr:cNvCxnSpPr/>
      </xdr:nvCxnSpPr>
      <xdr:spPr>
        <a:xfrm>
          <a:off x="7996767" y="70761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49546</xdr:colOff>
      <xdr:row>24</xdr:row>
      <xdr:rowOff>0</xdr:rowOff>
    </xdr:from>
    <xdr:to>
      <xdr:col>7</xdr:col>
      <xdr:colOff>582946</xdr:colOff>
      <xdr:row>27</xdr:row>
      <xdr:rowOff>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2B2717A-E88E-B342-879B-EF5D942FE2C0}"/>
            </a:ext>
          </a:extLst>
        </xdr:cNvPr>
        <xdr:cNvCxnSpPr/>
      </xdr:nvCxnSpPr>
      <xdr:spPr>
        <a:xfrm flipV="1">
          <a:off x="7999746" y="7683500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46567</xdr:colOff>
      <xdr:row>27</xdr:row>
      <xdr:rowOff>2248</xdr:rowOff>
    </xdr:from>
    <xdr:to>
      <xdr:col>7</xdr:col>
      <xdr:colOff>579967</xdr:colOff>
      <xdr:row>30</xdr:row>
      <xdr:rowOff>2248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CD72B9C-746C-9C4A-B712-41B19251938B}"/>
            </a:ext>
          </a:extLst>
        </xdr:cNvPr>
        <xdr:cNvCxnSpPr/>
      </xdr:nvCxnSpPr>
      <xdr:spPr>
        <a:xfrm>
          <a:off x="7996767" y="82953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41080</xdr:colOff>
      <xdr:row>30</xdr:row>
      <xdr:rowOff>0</xdr:rowOff>
    </xdr:from>
    <xdr:to>
      <xdr:col>7</xdr:col>
      <xdr:colOff>574480</xdr:colOff>
      <xdr:row>33</xdr:row>
      <xdr:rowOff>1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AB6A8A0-08C9-E34D-8804-084DE6E1A0F2}"/>
            </a:ext>
          </a:extLst>
        </xdr:cNvPr>
        <xdr:cNvCxnSpPr/>
      </xdr:nvCxnSpPr>
      <xdr:spPr>
        <a:xfrm flipV="1">
          <a:off x="7991280" y="8902700"/>
          <a:ext cx="533400" cy="5969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38101</xdr:colOff>
      <xdr:row>33</xdr:row>
      <xdr:rowOff>2249</xdr:rowOff>
    </xdr:from>
    <xdr:to>
      <xdr:col>7</xdr:col>
      <xdr:colOff>571501</xdr:colOff>
      <xdr:row>36</xdr:row>
      <xdr:rowOff>2248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EF259292-9D9D-EB4D-A655-595ED271C0FA}"/>
            </a:ext>
          </a:extLst>
        </xdr:cNvPr>
        <xdr:cNvCxnSpPr/>
      </xdr:nvCxnSpPr>
      <xdr:spPr>
        <a:xfrm>
          <a:off x="7988301" y="9501849"/>
          <a:ext cx="533400" cy="5968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41080</xdr:colOff>
      <xdr:row>15</xdr:row>
      <xdr:rowOff>0</xdr:rowOff>
    </xdr:from>
    <xdr:to>
      <xdr:col>9</xdr:col>
      <xdr:colOff>574480</xdr:colOff>
      <xdr:row>18</xdr:row>
      <xdr:rowOff>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D0C49E4-CA9F-014A-B468-3D9D165F658F}"/>
            </a:ext>
          </a:extLst>
        </xdr:cNvPr>
        <xdr:cNvCxnSpPr/>
      </xdr:nvCxnSpPr>
      <xdr:spPr>
        <a:xfrm flipV="1">
          <a:off x="9807380" y="5867400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38101</xdr:colOff>
      <xdr:row>18</xdr:row>
      <xdr:rowOff>2248</xdr:rowOff>
    </xdr:from>
    <xdr:to>
      <xdr:col>9</xdr:col>
      <xdr:colOff>571501</xdr:colOff>
      <xdr:row>21</xdr:row>
      <xdr:rowOff>2248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6F083DD-3421-D14E-ACED-B8C5683F9172}"/>
            </a:ext>
          </a:extLst>
        </xdr:cNvPr>
        <xdr:cNvCxnSpPr/>
      </xdr:nvCxnSpPr>
      <xdr:spPr>
        <a:xfrm>
          <a:off x="9804401" y="6466548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49547</xdr:colOff>
      <xdr:row>21</xdr:row>
      <xdr:rowOff>0</xdr:rowOff>
    </xdr:from>
    <xdr:to>
      <xdr:col>9</xdr:col>
      <xdr:colOff>582947</xdr:colOff>
      <xdr:row>24</xdr:row>
      <xdr:rowOff>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766BA4E3-C629-D34C-BA40-8F1FB8DEC38A}"/>
            </a:ext>
          </a:extLst>
        </xdr:cNvPr>
        <xdr:cNvCxnSpPr/>
      </xdr:nvCxnSpPr>
      <xdr:spPr>
        <a:xfrm flipV="1">
          <a:off x="9815847" y="7073900"/>
          <a:ext cx="533400" cy="6096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46568</xdr:colOff>
      <xdr:row>24</xdr:row>
      <xdr:rowOff>2249</xdr:rowOff>
    </xdr:from>
    <xdr:to>
      <xdr:col>9</xdr:col>
      <xdr:colOff>579968</xdr:colOff>
      <xdr:row>27</xdr:row>
      <xdr:rowOff>2248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E82CC74-7252-224D-A54C-197EFD01F939}"/>
            </a:ext>
          </a:extLst>
        </xdr:cNvPr>
        <xdr:cNvCxnSpPr/>
      </xdr:nvCxnSpPr>
      <xdr:spPr>
        <a:xfrm>
          <a:off x="9812868" y="7685749"/>
          <a:ext cx="533400" cy="609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49547</xdr:colOff>
      <xdr:row>26</xdr:row>
      <xdr:rowOff>194733</xdr:rowOff>
    </xdr:from>
    <xdr:to>
      <xdr:col>9</xdr:col>
      <xdr:colOff>582947</xdr:colOff>
      <xdr:row>30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09D1F70-DB8B-924C-B8E2-9959977C98F9}"/>
            </a:ext>
          </a:extLst>
        </xdr:cNvPr>
        <xdr:cNvCxnSpPr/>
      </xdr:nvCxnSpPr>
      <xdr:spPr>
        <a:xfrm flipV="1">
          <a:off x="9815847" y="8284633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46568</xdr:colOff>
      <xdr:row>30</xdr:row>
      <xdr:rowOff>2248</xdr:rowOff>
    </xdr:from>
    <xdr:to>
      <xdr:col>9</xdr:col>
      <xdr:colOff>579968</xdr:colOff>
      <xdr:row>33</xdr:row>
      <xdr:rowOff>2248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9DD5DC94-945B-BD4F-9899-B71791807A87}"/>
            </a:ext>
          </a:extLst>
        </xdr:cNvPr>
        <xdr:cNvCxnSpPr/>
      </xdr:nvCxnSpPr>
      <xdr:spPr>
        <a:xfrm>
          <a:off x="9812868" y="89049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58014</xdr:colOff>
      <xdr:row>33</xdr:row>
      <xdr:rowOff>0</xdr:rowOff>
    </xdr:from>
    <xdr:to>
      <xdr:col>9</xdr:col>
      <xdr:colOff>591414</xdr:colOff>
      <xdr:row>36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28834C4-C1E8-D44D-AEC6-F5A61640246B}"/>
            </a:ext>
          </a:extLst>
        </xdr:cNvPr>
        <xdr:cNvCxnSpPr/>
      </xdr:nvCxnSpPr>
      <xdr:spPr>
        <a:xfrm flipV="1">
          <a:off x="9824314" y="9499600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55035</xdr:colOff>
      <xdr:row>36</xdr:row>
      <xdr:rowOff>2248</xdr:rowOff>
    </xdr:from>
    <xdr:to>
      <xdr:col>9</xdr:col>
      <xdr:colOff>588435</xdr:colOff>
      <xdr:row>39</xdr:row>
      <xdr:rowOff>2248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6A501320-EDA3-9C4F-B350-69020A83A503}"/>
            </a:ext>
          </a:extLst>
        </xdr:cNvPr>
        <xdr:cNvCxnSpPr/>
      </xdr:nvCxnSpPr>
      <xdr:spPr>
        <a:xfrm>
          <a:off x="9821335" y="10098748"/>
          <a:ext cx="533400" cy="596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83414</xdr:colOff>
      <xdr:row>11</xdr:row>
      <xdr:rowOff>198966</xdr:rowOff>
    </xdr:from>
    <xdr:to>
      <xdr:col>11</xdr:col>
      <xdr:colOff>616814</xdr:colOff>
      <xdr:row>14</xdr:row>
      <xdr:rowOff>169333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AC7E2736-EBB4-0E4A-8C99-D1116AB0FB6C}"/>
            </a:ext>
          </a:extLst>
        </xdr:cNvPr>
        <xdr:cNvCxnSpPr/>
      </xdr:nvCxnSpPr>
      <xdr:spPr>
        <a:xfrm flipV="1">
          <a:off x="11665814" y="5253566"/>
          <a:ext cx="533400" cy="5799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80435</xdr:colOff>
      <xdr:row>14</xdr:row>
      <xdr:rowOff>171581</xdr:rowOff>
    </xdr:from>
    <xdr:to>
      <xdr:col>11</xdr:col>
      <xdr:colOff>613835</xdr:colOff>
      <xdr:row>17</xdr:row>
      <xdr:rowOff>184281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1B3EE2F5-26F0-EA4D-AC95-748F5F4F1144}"/>
            </a:ext>
          </a:extLst>
        </xdr:cNvPr>
        <xdr:cNvCxnSpPr/>
      </xdr:nvCxnSpPr>
      <xdr:spPr>
        <a:xfrm>
          <a:off x="11662835" y="58357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83414</xdr:colOff>
      <xdr:row>18</xdr:row>
      <xdr:rowOff>21166</xdr:rowOff>
    </xdr:from>
    <xdr:to>
      <xdr:col>11</xdr:col>
      <xdr:colOff>616814</xdr:colOff>
      <xdr:row>20</xdr:row>
      <xdr:rowOff>232833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F96D3E5-07FB-6A46-BCB4-3DBBDC87B338}"/>
            </a:ext>
          </a:extLst>
        </xdr:cNvPr>
        <xdr:cNvCxnSpPr/>
      </xdr:nvCxnSpPr>
      <xdr:spPr>
        <a:xfrm flipV="1">
          <a:off x="11665814" y="6485466"/>
          <a:ext cx="533400" cy="5926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80435</xdr:colOff>
      <xdr:row>20</xdr:row>
      <xdr:rowOff>235081</xdr:rowOff>
    </xdr:from>
    <xdr:to>
      <xdr:col>11</xdr:col>
      <xdr:colOff>613835</xdr:colOff>
      <xdr:row>23</xdr:row>
      <xdr:rowOff>196981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9F3375D0-2558-D24C-BFE9-557837C8156D}"/>
            </a:ext>
          </a:extLst>
        </xdr:cNvPr>
        <xdr:cNvCxnSpPr/>
      </xdr:nvCxnSpPr>
      <xdr:spPr>
        <a:xfrm>
          <a:off x="11662835" y="70676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58014</xdr:colOff>
      <xdr:row>23</xdr:row>
      <xdr:rowOff>186266</xdr:rowOff>
    </xdr:from>
    <xdr:to>
      <xdr:col>11</xdr:col>
      <xdr:colOff>591414</xdr:colOff>
      <xdr:row>26</xdr:row>
      <xdr:rowOff>194733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94121B5B-A2AE-FA40-A2CA-B04C3C51B973}"/>
            </a:ext>
          </a:extLst>
        </xdr:cNvPr>
        <xdr:cNvCxnSpPr/>
      </xdr:nvCxnSpPr>
      <xdr:spPr>
        <a:xfrm flipV="1">
          <a:off x="11640414" y="76665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55035</xdr:colOff>
      <xdr:row>26</xdr:row>
      <xdr:rowOff>196981</xdr:rowOff>
    </xdr:from>
    <xdr:to>
      <xdr:col>11</xdr:col>
      <xdr:colOff>588435</xdr:colOff>
      <xdr:row>29</xdr:row>
      <xdr:rowOff>196981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9AE4EF45-665E-7543-BEC6-6E295C42136D}"/>
            </a:ext>
          </a:extLst>
        </xdr:cNvPr>
        <xdr:cNvCxnSpPr/>
      </xdr:nvCxnSpPr>
      <xdr:spPr>
        <a:xfrm>
          <a:off x="11637435" y="82868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45314</xdr:colOff>
      <xdr:row>29</xdr:row>
      <xdr:rowOff>186266</xdr:rowOff>
    </xdr:from>
    <xdr:to>
      <xdr:col>11</xdr:col>
      <xdr:colOff>578714</xdr:colOff>
      <xdr:row>32</xdr:row>
      <xdr:rowOff>194733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17A2F79D-8740-094D-8EC0-4340752ADDC5}"/>
            </a:ext>
          </a:extLst>
        </xdr:cNvPr>
        <xdr:cNvCxnSpPr/>
      </xdr:nvCxnSpPr>
      <xdr:spPr>
        <a:xfrm flipV="1">
          <a:off x="11627714" y="88857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42335</xdr:colOff>
      <xdr:row>32</xdr:row>
      <xdr:rowOff>196981</xdr:rowOff>
    </xdr:from>
    <xdr:to>
      <xdr:col>11</xdr:col>
      <xdr:colOff>575735</xdr:colOff>
      <xdr:row>36</xdr:row>
      <xdr:rowOff>6481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585B29D-E231-984F-911A-FF6C20273657}"/>
            </a:ext>
          </a:extLst>
        </xdr:cNvPr>
        <xdr:cNvCxnSpPr/>
      </xdr:nvCxnSpPr>
      <xdr:spPr>
        <a:xfrm>
          <a:off x="11624735" y="94933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58014</xdr:colOff>
      <xdr:row>35</xdr:row>
      <xdr:rowOff>173566</xdr:rowOff>
    </xdr:from>
    <xdr:to>
      <xdr:col>11</xdr:col>
      <xdr:colOff>591414</xdr:colOff>
      <xdr:row>39</xdr:row>
      <xdr:rowOff>4233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4967EC72-6194-6442-8E86-6DA07568E52C}"/>
            </a:ext>
          </a:extLst>
        </xdr:cNvPr>
        <xdr:cNvCxnSpPr/>
      </xdr:nvCxnSpPr>
      <xdr:spPr>
        <a:xfrm flipV="1">
          <a:off x="11640414" y="10079566"/>
          <a:ext cx="533400" cy="6180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55035</xdr:colOff>
      <xdr:row>39</xdr:row>
      <xdr:rowOff>6481</xdr:rowOff>
    </xdr:from>
    <xdr:to>
      <xdr:col>11</xdr:col>
      <xdr:colOff>588435</xdr:colOff>
      <xdr:row>42</xdr:row>
      <xdr:rowOff>19181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2718DE1E-9BB8-724B-9D05-345450F922D3}"/>
            </a:ext>
          </a:extLst>
        </xdr:cNvPr>
        <xdr:cNvCxnSpPr/>
      </xdr:nvCxnSpPr>
      <xdr:spPr>
        <a:xfrm>
          <a:off x="11637435" y="10699881"/>
          <a:ext cx="5334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29584</xdr:colOff>
      <xdr:row>18</xdr:row>
      <xdr:rowOff>67733</xdr:rowOff>
    </xdr:from>
    <xdr:to>
      <xdr:col>17</xdr:col>
      <xdr:colOff>685800</xdr:colOff>
      <xdr:row>20</xdr:row>
      <xdr:rowOff>113876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6385A4AC-53BA-434A-8689-D7D6076466DA}"/>
            </a:ext>
          </a:extLst>
        </xdr:cNvPr>
        <xdr:cNvCxnSpPr/>
      </xdr:nvCxnSpPr>
      <xdr:spPr>
        <a:xfrm flipV="1">
          <a:off x="15510884" y="6532033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38050</xdr:colOff>
      <xdr:row>20</xdr:row>
      <xdr:rowOff>118533</xdr:rowOff>
    </xdr:from>
    <xdr:to>
      <xdr:col>17</xdr:col>
      <xdr:colOff>694266</xdr:colOff>
      <xdr:row>22</xdr:row>
      <xdr:rowOff>164676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AF13A59B-A483-1641-BD38-3402E558D3F8}"/>
            </a:ext>
          </a:extLst>
        </xdr:cNvPr>
        <xdr:cNvCxnSpPr/>
      </xdr:nvCxnSpPr>
      <xdr:spPr>
        <a:xfrm>
          <a:off x="15519350" y="6989233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16</xdr:row>
      <xdr:rowOff>59268</xdr:rowOff>
    </xdr:from>
    <xdr:to>
      <xdr:col>19</xdr:col>
      <xdr:colOff>711200</xdr:colOff>
      <xdr:row>18</xdr:row>
      <xdr:rowOff>84667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CC0318DE-6F7A-464D-B2F0-537BAC980E78}"/>
            </a:ext>
          </a:extLst>
        </xdr:cNvPr>
        <xdr:cNvCxnSpPr/>
      </xdr:nvCxnSpPr>
      <xdr:spPr>
        <a:xfrm flipV="1">
          <a:off x="16840200" y="6117168"/>
          <a:ext cx="635000" cy="431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67734</xdr:colOff>
      <xdr:row>18</xdr:row>
      <xdr:rowOff>101600</xdr:rowOff>
    </xdr:from>
    <xdr:to>
      <xdr:col>19</xdr:col>
      <xdr:colOff>702733</xdr:colOff>
      <xdr:row>20</xdr:row>
      <xdr:rowOff>63075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9DD950E1-A571-C148-BB10-48D98A2C2402}"/>
            </a:ext>
          </a:extLst>
        </xdr:cNvPr>
        <xdr:cNvCxnSpPr/>
      </xdr:nvCxnSpPr>
      <xdr:spPr>
        <a:xfrm>
          <a:off x="16831734" y="6565900"/>
          <a:ext cx="634999" cy="367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38051</xdr:colOff>
      <xdr:row>20</xdr:row>
      <xdr:rowOff>110067</xdr:rowOff>
    </xdr:from>
    <xdr:to>
      <xdr:col>19</xdr:col>
      <xdr:colOff>702734</xdr:colOff>
      <xdr:row>22</xdr:row>
      <xdr:rowOff>113877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40B7029E-3442-C040-8AB2-D7FD5F1CA4E1}"/>
            </a:ext>
          </a:extLst>
        </xdr:cNvPr>
        <xdr:cNvCxnSpPr/>
      </xdr:nvCxnSpPr>
      <xdr:spPr>
        <a:xfrm flipV="1">
          <a:off x="16802051" y="6980767"/>
          <a:ext cx="664683" cy="4102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46517</xdr:colOff>
      <xdr:row>22</xdr:row>
      <xdr:rowOff>118533</xdr:rowOff>
    </xdr:from>
    <xdr:to>
      <xdr:col>19</xdr:col>
      <xdr:colOff>711200</xdr:colOff>
      <xdr:row>24</xdr:row>
      <xdr:rowOff>127000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C7E57B9F-BA1E-4648-B255-C64CE46159A8}"/>
            </a:ext>
          </a:extLst>
        </xdr:cNvPr>
        <xdr:cNvCxnSpPr/>
      </xdr:nvCxnSpPr>
      <xdr:spPr>
        <a:xfrm>
          <a:off x="16810517" y="7395633"/>
          <a:ext cx="664683" cy="41486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33866</xdr:colOff>
      <xdr:row>14</xdr:row>
      <xdr:rowOff>50800</xdr:rowOff>
    </xdr:from>
    <xdr:to>
      <xdr:col>21</xdr:col>
      <xdr:colOff>690082</xdr:colOff>
      <xdr:row>16</xdr:row>
      <xdr:rowOff>96943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C11712D1-8377-204C-9291-41966A4AEF56}"/>
            </a:ext>
          </a:extLst>
        </xdr:cNvPr>
        <xdr:cNvCxnSpPr/>
      </xdr:nvCxnSpPr>
      <xdr:spPr>
        <a:xfrm flipV="1">
          <a:off x="18067866" y="5715000"/>
          <a:ext cx="656216" cy="4398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42332</xdr:colOff>
      <xdr:row>16</xdr:row>
      <xdr:rowOff>101600</xdr:rowOff>
    </xdr:from>
    <xdr:to>
      <xdr:col>21</xdr:col>
      <xdr:colOff>702734</xdr:colOff>
      <xdr:row>18</xdr:row>
      <xdr:rowOff>118533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444503FD-CA88-BE4F-994D-F93A28FB8A68}"/>
            </a:ext>
          </a:extLst>
        </xdr:cNvPr>
        <xdr:cNvCxnSpPr/>
      </xdr:nvCxnSpPr>
      <xdr:spPr>
        <a:xfrm>
          <a:off x="18076332" y="6159500"/>
          <a:ext cx="6604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50800</xdr:colOff>
      <xdr:row>18</xdr:row>
      <xdr:rowOff>160868</xdr:rowOff>
    </xdr:from>
    <xdr:to>
      <xdr:col>21</xdr:col>
      <xdr:colOff>690082</xdr:colOff>
      <xdr:row>20</xdr:row>
      <xdr:rowOff>110067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22547C-9DAE-6C49-A008-1FA6239DA986}"/>
            </a:ext>
          </a:extLst>
        </xdr:cNvPr>
        <xdr:cNvCxnSpPr/>
      </xdr:nvCxnSpPr>
      <xdr:spPr>
        <a:xfrm flipV="1">
          <a:off x="18084800" y="6625168"/>
          <a:ext cx="639282" cy="3555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67734</xdr:colOff>
      <xdr:row>20</xdr:row>
      <xdr:rowOff>118533</xdr:rowOff>
    </xdr:from>
    <xdr:to>
      <xdr:col>21</xdr:col>
      <xdr:colOff>698548</xdr:colOff>
      <xdr:row>22</xdr:row>
      <xdr:rowOff>130805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135473B3-7BC9-174D-8223-8B0932F48CA5}"/>
            </a:ext>
          </a:extLst>
        </xdr:cNvPr>
        <xdr:cNvCxnSpPr/>
      </xdr:nvCxnSpPr>
      <xdr:spPr>
        <a:xfrm>
          <a:off x="18101734" y="6989233"/>
          <a:ext cx="630814" cy="4186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59267</xdr:colOff>
      <xdr:row>22</xdr:row>
      <xdr:rowOff>152401</xdr:rowOff>
    </xdr:from>
    <xdr:to>
      <xdr:col>21</xdr:col>
      <xdr:colOff>707015</xdr:colOff>
      <xdr:row>24</xdr:row>
      <xdr:rowOff>118533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5DB2C997-72C7-C942-BF7F-12E53056D2E2}"/>
            </a:ext>
          </a:extLst>
        </xdr:cNvPr>
        <xdr:cNvCxnSpPr/>
      </xdr:nvCxnSpPr>
      <xdr:spPr>
        <a:xfrm flipV="1">
          <a:off x="18093267" y="7429501"/>
          <a:ext cx="647748" cy="372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76200</xdr:colOff>
      <xdr:row>24</xdr:row>
      <xdr:rowOff>127000</xdr:rowOff>
    </xdr:from>
    <xdr:to>
      <xdr:col>21</xdr:col>
      <xdr:colOff>690081</xdr:colOff>
      <xdr:row>26</xdr:row>
      <xdr:rowOff>156209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215EC989-A00E-A347-98CB-1A75C1A983EB}"/>
            </a:ext>
          </a:extLst>
        </xdr:cNvPr>
        <xdr:cNvCxnSpPr/>
      </xdr:nvCxnSpPr>
      <xdr:spPr>
        <a:xfrm>
          <a:off x="18110200" y="7810500"/>
          <a:ext cx="613881" cy="435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17220</xdr:colOff>
      <xdr:row>12</xdr:row>
      <xdr:rowOff>27551</xdr:rowOff>
    </xdr:from>
    <xdr:to>
      <xdr:col>23</xdr:col>
      <xdr:colOff>673436</xdr:colOff>
      <xdr:row>14</xdr:row>
      <xdr:rowOff>73694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7314B53C-B5B5-7A4F-A792-5A162E73998D}"/>
            </a:ext>
          </a:extLst>
        </xdr:cNvPr>
        <xdr:cNvCxnSpPr/>
      </xdr:nvCxnSpPr>
      <xdr:spPr>
        <a:xfrm flipV="1">
          <a:off x="19372020" y="5285351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25686</xdr:colOff>
      <xdr:row>14</xdr:row>
      <xdr:rowOff>78351</xdr:rowOff>
    </xdr:from>
    <xdr:to>
      <xdr:col>23</xdr:col>
      <xdr:colOff>688814</xdr:colOff>
      <xdr:row>16</xdr:row>
      <xdr:rowOff>64576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3C6CB452-944A-3E46-A621-49311A773DE8}"/>
            </a:ext>
          </a:extLst>
        </xdr:cNvPr>
        <xdr:cNvCxnSpPr/>
      </xdr:nvCxnSpPr>
      <xdr:spPr>
        <a:xfrm>
          <a:off x="19380486" y="5742551"/>
          <a:ext cx="663128" cy="379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29705</xdr:colOff>
      <xdr:row>16</xdr:row>
      <xdr:rowOff>83088</xdr:rowOff>
    </xdr:from>
    <xdr:to>
      <xdr:col>23</xdr:col>
      <xdr:colOff>685921</xdr:colOff>
      <xdr:row>18</xdr:row>
      <xdr:rowOff>129231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DB3A1C1F-D1BB-6F47-A213-8A3BE58BCA16}"/>
            </a:ext>
          </a:extLst>
        </xdr:cNvPr>
        <xdr:cNvCxnSpPr/>
      </xdr:nvCxnSpPr>
      <xdr:spPr>
        <a:xfrm flipV="1">
          <a:off x="19384505" y="6140988"/>
          <a:ext cx="656216" cy="4525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38171</xdr:colOff>
      <xdr:row>18</xdr:row>
      <xdr:rowOff>133888</xdr:rowOff>
    </xdr:from>
    <xdr:to>
      <xdr:col>23</xdr:col>
      <xdr:colOff>678051</xdr:colOff>
      <xdr:row>20</xdr:row>
      <xdr:rowOff>107627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2988D03A-1A5F-9341-80D1-EAF3C7D3919E}"/>
            </a:ext>
          </a:extLst>
        </xdr:cNvPr>
        <xdr:cNvCxnSpPr/>
      </xdr:nvCxnSpPr>
      <xdr:spPr>
        <a:xfrm>
          <a:off x="19392971" y="6598188"/>
          <a:ext cx="639880" cy="3801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21525</xdr:colOff>
      <xdr:row>20</xdr:row>
      <xdr:rowOff>172203</xdr:rowOff>
    </xdr:from>
    <xdr:to>
      <xdr:col>23</xdr:col>
      <xdr:colOff>688814</xdr:colOff>
      <xdr:row>22</xdr:row>
      <xdr:rowOff>121482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D317B14E-06E4-2D41-8427-F15BCC6A2D64}"/>
            </a:ext>
          </a:extLst>
        </xdr:cNvPr>
        <xdr:cNvCxnSpPr/>
      </xdr:nvCxnSpPr>
      <xdr:spPr>
        <a:xfrm flipV="1">
          <a:off x="19376325" y="7042903"/>
          <a:ext cx="667289" cy="355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29991</xdr:colOff>
      <xdr:row>22</xdr:row>
      <xdr:rowOff>126139</xdr:rowOff>
    </xdr:from>
    <xdr:to>
      <xdr:col>23</xdr:col>
      <xdr:colOff>690393</xdr:colOff>
      <xdr:row>24</xdr:row>
      <xdr:rowOff>143072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78DA7A4-2A57-7549-8AB1-5AA362C54E7E}"/>
            </a:ext>
          </a:extLst>
        </xdr:cNvPr>
        <xdr:cNvCxnSpPr/>
      </xdr:nvCxnSpPr>
      <xdr:spPr>
        <a:xfrm>
          <a:off x="19384791" y="7403239"/>
          <a:ext cx="6604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32288</xdr:colOff>
      <xdr:row>24</xdr:row>
      <xdr:rowOff>182966</xdr:rowOff>
    </xdr:from>
    <xdr:to>
      <xdr:col>23</xdr:col>
      <xdr:colOff>678051</xdr:colOff>
      <xdr:row>26</xdr:row>
      <xdr:rowOff>121482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86649FDF-B3CF-CB4E-9125-7691D74AD44B}"/>
            </a:ext>
          </a:extLst>
        </xdr:cNvPr>
        <xdr:cNvCxnSpPr/>
      </xdr:nvCxnSpPr>
      <xdr:spPr>
        <a:xfrm flipV="1">
          <a:off x="19387088" y="7866466"/>
          <a:ext cx="645763" cy="34491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40754</xdr:colOff>
      <xdr:row>26</xdr:row>
      <xdr:rowOff>126139</xdr:rowOff>
    </xdr:from>
    <xdr:to>
      <xdr:col>23</xdr:col>
      <xdr:colOff>701156</xdr:colOff>
      <xdr:row>28</xdr:row>
      <xdr:rowOff>143072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9F27FB2E-5FB5-1543-84E6-EE3D2AB810BF}"/>
            </a:ext>
          </a:extLst>
        </xdr:cNvPr>
        <xdr:cNvCxnSpPr/>
      </xdr:nvCxnSpPr>
      <xdr:spPr>
        <a:xfrm>
          <a:off x="19395554" y="8216039"/>
          <a:ext cx="660402" cy="4233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5F29D-A6E9-3340-B9E7-31B00FF5C1C9}">
  <sheetPr codeName="Sheet3"/>
  <dimension ref="A1:AP59"/>
  <sheetViews>
    <sheetView showGridLines="0" topLeftCell="J21" zoomScale="49" zoomScaleNormal="49" workbookViewId="0">
      <selection activeCell="AI52" sqref="AI52"/>
    </sheetView>
  </sheetViews>
  <sheetFormatPr defaultColWidth="9.6328125" defaultRowHeight="14.5" x14ac:dyDescent="0.35"/>
  <cols>
    <col min="1" max="1" width="25.1796875" style="1" bestFit="1" customWidth="1"/>
    <col min="2" max="2" width="15.36328125" style="1" bestFit="1" customWidth="1"/>
    <col min="3" max="3" width="18.6328125" style="1" customWidth="1"/>
    <col min="4" max="4" width="8" style="1" customWidth="1"/>
    <col min="5" max="5" width="14.81640625" style="1" customWidth="1"/>
    <col min="6" max="6" width="9" style="1" customWidth="1"/>
    <col min="7" max="7" width="13.6328125" style="1" customWidth="1"/>
    <col min="8" max="8" width="8.453125" style="1" customWidth="1"/>
    <col min="9" max="9" width="13.81640625" style="1" customWidth="1"/>
    <col min="10" max="10" width="8.453125" style="1" customWidth="1"/>
    <col min="11" max="11" width="13.453125" style="1" bestFit="1" customWidth="1"/>
    <col min="12" max="12" width="8.36328125" style="1" customWidth="1"/>
    <col min="13" max="13" width="13.453125" style="1" bestFit="1" customWidth="1"/>
    <col min="14" max="15" width="9" style="1" customWidth="1"/>
    <col min="16" max="16" width="8.1796875" style="1" customWidth="1"/>
    <col min="17" max="17" width="27.36328125" style="1" customWidth="1"/>
    <col min="18" max="18" width="9.1796875" style="1" customWidth="1"/>
    <col min="19" max="19" width="14.6328125" style="1" customWidth="1"/>
    <col min="20" max="20" width="8.453125" style="1" customWidth="1"/>
    <col min="21" max="21" width="14.1796875" style="1" customWidth="1"/>
    <col min="22" max="22" width="8.1796875" style="1" customWidth="1"/>
    <col min="23" max="23" width="14.6328125" style="1" customWidth="1"/>
    <col min="24" max="24" width="8.81640625" style="1" customWidth="1"/>
    <col min="25" max="25" width="14.36328125" style="1" customWidth="1"/>
    <col min="26" max="26" width="8.1796875" style="1" customWidth="1"/>
    <col min="27" max="27" width="14.453125" style="1" customWidth="1"/>
    <col min="28" max="28" width="9.6328125" style="1"/>
    <col min="29" max="29" width="12.1796875" style="1" bestFit="1" customWidth="1"/>
    <col min="30" max="30" width="10.1796875" style="1" bestFit="1" customWidth="1"/>
    <col min="31" max="31" width="7.81640625" style="1" customWidth="1"/>
    <col min="32" max="32" width="5" style="1" customWidth="1"/>
    <col min="33" max="33" width="8.453125" style="1" customWidth="1"/>
    <col min="34" max="34" width="5.81640625" style="1" customWidth="1"/>
    <col min="35" max="35" width="7.6328125" style="1" customWidth="1"/>
    <col min="36" max="36" width="7.36328125" style="1" customWidth="1"/>
    <col min="37" max="37" width="8.1796875" style="1" customWidth="1"/>
    <col min="38" max="38" width="7.1796875" style="1" customWidth="1"/>
    <col min="39" max="39" width="8.1796875" style="1" customWidth="1"/>
    <col min="40" max="40" width="7.1796875" style="1" customWidth="1"/>
    <col min="41" max="41" width="7" style="1" customWidth="1"/>
    <col min="42" max="16384" width="9.6328125" style="1"/>
  </cols>
  <sheetData>
    <row r="1" spans="1:30" ht="21" x14ac:dyDescent="0.35">
      <c r="A1" s="22" t="s">
        <v>22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30" ht="15" thickBot="1" x14ac:dyDescent="0.4"/>
    <row r="3" spans="1:30" ht="19" thickBot="1" x14ac:dyDescent="0.4">
      <c r="A3" s="20" t="s">
        <v>8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S3" s="28">
        <v>0</v>
      </c>
      <c r="T3" s="3"/>
      <c r="U3" s="3">
        <v>1</v>
      </c>
      <c r="V3" s="3"/>
      <c r="W3" s="3">
        <v>2</v>
      </c>
      <c r="X3" s="3"/>
      <c r="Y3" s="3">
        <v>3</v>
      </c>
      <c r="Z3" s="3"/>
      <c r="AA3" s="3">
        <v>4</v>
      </c>
      <c r="AB3" s="3"/>
      <c r="AC3" s="4">
        <v>5</v>
      </c>
    </row>
    <row r="4" spans="1:30" x14ac:dyDescent="0.35">
      <c r="A4" s="15" t="s">
        <v>16</v>
      </c>
      <c r="B4" s="23">
        <v>-1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S4" s="8" t="s">
        <v>62</v>
      </c>
      <c r="T4" s="6"/>
      <c r="U4" s="6" t="s">
        <v>60</v>
      </c>
      <c r="V4" s="6"/>
      <c r="W4" s="6" t="s">
        <v>23</v>
      </c>
      <c r="X4" s="6"/>
      <c r="Y4" s="6" t="s">
        <v>25</v>
      </c>
      <c r="Z4" s="6"/>
      <c r="AA4" s="6" t="s">
        <v>61</v>
      </c>
      <c r="AB4" s="6"/>
      <c r="AC4" s="7" t="s">
        <v>24</v>
      </c>
    </row>
    <row r="5" spans="1:30" x14ac:dyDescent="0.35">
      <c r="A5" s="15" t="s">
        <v>21</v>
      </c>
      <c r="B5" s="18">
        <v>179.97</v>
      </c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R5" s="42" t="s">
        <v>66</v>
      </c>
      <c r="S5" s="3"/>
      <c r="T5" s="3"/>
      <c r="U5" s="3" t="s">
        <v>53</v>
      </c>
      <c r="V5" s="3"/>
      <c r="W5" s="3" t="s">
        <v>54</v>
      </c>
      <c r="X5" s="3"/>
      <c r="Y5" s="3" t="s">
        <v>55</v>
      </c>
      <c r="Z5" s="3"/>
      <c r="AA5" s="3" t="s">
        <v>56</v>
      </c>
      <c r="AB5" s="3"/>
      <c r="AC5" s="3" t="s">
        <v>57</v>
      </c>
      <c r="AD5" s="4" t="s">
        <v>52</v>
      </c>
    </row>
    <row r="6" spans="1:30" x14ac:dyDescent="0.25">
      <c r="A6" s="14" t="s">
        <v>0</v>
      </c>
      <c r="B6" s="17">
        <f>B5</f>
        <v>179.97</v>
      </c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R6" s="43" t="s">
        <v>58</v>
      </c>
      <c r="S6" s="6"/>
      <c r="T6" s="6"/>
      <c r="U6" s="31">
        <f>'Forward Rates'!C3</f>
        <v>2.1930299999999998</v>
      </c>
      <c r="V6" s="6"/>
      <c r="W6" s="31">
        <f>'Forward Rates'!C4</f>
        <v>2.15991</v>
      </c>
      <c r="X6" s="6"/>
      <c r="Y6" s="31">
        <f>'Forward Rates'!C5</f>
        <v>2.17171</v>
      </c>
      <c r="Z6" s="6"/>
      <c r="AA6" s="6">
        <f>'Forward Rates'!C6</f>
        <v>2.2117733333333334</v>
      </c>
      <c r="AB6" s="6"/>
      <c r="AC6" s="6">
        <f>'Forward Rates'!C7</f>
        <v>2.2518366666666667</v>
      </c>
      <c r="AD6" s="32">
        <f>'Forward Rates'!C8</f>
        <v>2.2919</v>
      </c>
    </row>
    <row r="7" spans="1:30" x14ac:dyDescent="0.35">
      <c r="A7" s="14" t="s">
        <v>4</v>
      </c>
      <c r="B7" s="19">
        <f>AC7</f>
        <v>2.2518366666666668E-2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R7" s="16" t="s">
        <v>59</v>
      </c>
      <c r="S7" s="9"/>
      <c r="T7" s="9"/>
      <c r="U7" s="9">
        <f>U6/100</f>
        <v>2.19303E-2</v>
      </c>
      <c r="V7" s="9"/>
      <c r="W7" s="33">
        <f>W6/100</f>
        <v>2.15991E-2</v>
      </c>
      <c r="X7" s="9"/>
      <c r="Y7" s="9">
        <f>Y6/100</f>
        <v>2.17171E-2</v>
      </c>
      <c r="Z7" s="9"/>
      <c r="AA7" s="33">
        <f>AA6/100</f>
        <v>2.2117733333333334E-2</v>
      </c>
      <c r="AB7" s="9"/>
      <c r="AC7" s="9">
        <f>AC6/100</f>
        <v>2.2518366666666668E-2</v>
      </c>
      <c r="AD7" s="10">
        <f>AD6/100</f>
        <v>2.2919000000000002E-2</v>
      </c>
    </row>
    <row r="8" spans="1:30" x14ac:dyDescent="0.35">
      <c r="A8" s="14" t="s">
        <v>19</v>
      </c>
      <c r="B8" s="19">
        <f>0.2379</f>
        <v>0.2379</v>
      </c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R8" s="44" t="s">
        <v>65</v>
      </c>
      <c r="S8" s="6" t="s">
        <v>67</v>
      </c>
      <c r="T8" s="6"/>
      <c r="U8" s="6">
        <v>0</v>
      </c>
      <c r="V8" s="6"/>
      <c r="W8" s="6">
        <v>0.74</v>
      </c>
      <c r="X8" s="6"/>
      <c r="Y8" s="6">
        <v>0</v>
      </c>
      <c r="Z8" s="6"/>
      <c r="AA8" s="6">
        <v>0</v>
      </c>
      <c r="AB8" s="6"/>
      <c r="AC8" s="7">
        <v>0.74</v>
      </c>
    </row>
    <row r="9" spans="1:30" x14ac:dyDescent="0.35">
      <c r="A9" s="14" t="s">
        <v>20</v>
      </c>
      <c r="B9" s="17">
        <f>1/12</f>
        <v>8.3333333333333329E-2</v>
      </c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R9" s="30" t="s">
        <v>942</v>
      </c>
      <c r="S9" s="6" t="s">
        <v>67</v>
      </c>
      <c r="T9" s="6"/>
      <c r="U9" s="6">
        <v>0</v>
      </c>
      <c r="V9" s="6"/>
      <c r="W9" s="6">
        <f>W8*EXP(-W7*B9)</f>
        <v>0.73866925348123547</v>
      </c>
      <c r="X9" s="6"/>
      <c r="Y9" s="6">
        <v>0</v>
      </c>
      <c r="Z9" s="6"/>
      <c r="AA9" s="6">
        <v>0</v>
      </c>
      <c r="AB9" s="6"/>
      <c r="AC9" s="7">
        <f>AC8*EXP(-AC7*B9*5)</f>
        <v>0.73308930795441729</v>
      </c>
    </row>
    <row r="10" spans="1:30" x14ac:dyDescent="0.35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R10" s="5"/>
      <c r="S10" s="6" t="s">
        <v>67</v>
      </c>
      <c r="T10" s="6"/>
      <c r="U10" s="6" t="s">
        <v>67</v>
      </c>
      <c r="V10" s="6"/>
      <c r="W10" s="6">
        <f>W8*EXP(-'Forward Rates'!D3*B9*2)</f>
        <v>0.51969054025575989</v>
      </c>
      <c r="X10" s="6"/>
      <c r="Y10" s="6">
        <v>0</v>
      </c>
      <c r="Z10" s="6"/>
      <c r="AA10" s="6">
        <v>0</v>
      </c>
      <c r="AB10" s="6"/>
      <c r="AC10" s="7">
        <f>AC8*EXP(-'Forward Rates'!D6*B9*4)</f>
        <v>0.3476030950157068</v>
      </c>
    </row>
    <row r="11" spans="1:30" x14ac:dyDescent="0.35">
      <c r="A11" s="14" t="s">
        <v>1</v>
      </c>
      <c r="B11" s="17">
        <f>EXP(B8*SQRT(B9))</f>
        <v>1.0710889213825747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R11" s="5"/>
      <c r="S11" s="6" t="s">
        <v>67</v>
      </c>
      <c r="T11" s="6"/>
      <c r="U11" s="6" t="s">
        <v>67</v>
      </c>
      <c r="V11" s="6"/>
      <c r="W11" s="6" t="s">
        <v>67</v>
      </c>
      <c r="X11" s="6"/>
      <c r="Y11" s="6">
        <v>0</v>
      </c>
      <c r="Z11" s="6"/>
      <c r="AA11" s="6">
        <v>0</v>
      </c>
      <c r="AB11" s="6"/>
      <c r="AC11" s="7">
        <f>AC8*EXP(-'Forward Rates'!E5*B9*3)</f>
        <v>0.40647917033969683</v>
      </c>
    </row>
    <row r="12" spans="1:30" x14ac:dyDescent="0.35">
      <c r="A12" s="14" t="s">
        <v>2</v>
      </c>
      <c r="B12" s="17">
        <f>EXP(2*B7*B9)/B11</f>
        <v>0.93713985144032064</v>
      </c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R12" s="5"/>
      <c r="S12" s="6" t="s">
        <v>67</v>
      </c>
      <c r="T12" s="6"/>
      <c r="U12" s="6" t="s">
        <v>67</v>
      </c>
      <c r="V12" s="6"/>
      <c r="W12" s="6" t="s">
        <v>67</v>
      </c>
      <c r="X12" s="6"/>
      <c r="Y12" s="6" t="s">
        <v>67</v>
      </c>
      <c r="Z12" s="6"/>
      <c r="AA12" s="6">
        <v>0</v>
      </c>
      <c r="AB12" s="6"/>
      <c r="AC12" s="7">
        <f>AC8*EXP(-B9*'Forward Rates'!F4*2)</f>
        <v>0.50499415394654701</v>
      </c>
    </row>
    <row r="13" spans="1:30" x14ac:dyDescent="0.35">
      <c r="A13" s="14" t="s">
        <v>3</v>
      </c>
      <c r="B13" s="19">
        <f>(EXP(B7*B9)-B12)/(B11-B12)</f>
        <v>0.48330638599020681</v>
      </c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R13" s="5"/>
      <c r="S13" s="6" t="s">
        <v>67</v>
      </c>
      <c r="T13" s="6"/>
      <c r="U13" s="6" t="s">
        <v>67</v>
      </c>
      <c r="V13" s="6"/>
      <c r="W13" s="6" t="s">
        <v>67</v>
      </c>
      <c r="X13" s="6"/>
      <c r="Y13" s="6" t="s">
        <v>67</v>
      </c>
      <c r="Z13" s="6"/>
      <c r="AA13" s="6" t="s">
        <v>67</v>
      </c>
      <c r="AB13" s="6"/>
      <c r="AC13" s="7">
        <f>AC8*EXP(-B9*'Forward Rates'!G3)</f>
        <v>0.60732112426224627</v>
      </c>
    </row>
    <row r="14" spans="1:30" x14ac:dyDescent="0.35">
      <c r="A14" s="14" t="s">
        <v>18</v>
      </c>
      <c r="B14" s="19">
        <f>(SQRT(B13*(1-B13))*LN(B11/B12))/SQRT(B9)</f>
        <v>0.23127050018549974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R14" s="5"/>
      <c r="S14" s="6"/>
      <c r="T14" s="6"/>
      <c r="U14" s="6"/>
      <c r="V14" s="6"/>
      <c r="W14" s="6"/>
      <c r="X14" s="6"/>
      <c r="Y14" s="6"/>
      <c r="Z14" s="6"/>
      <c r="AA14" s="6"/>
      <c r="AB14" s="6"/>
      <c r="AC14" s="7"/>
    </row>
    <row r="15" spans="1:30" x14ac:dyDescent="0.35">
      <c r="R15" s="44" t="s">
        <v>68</v>
      </c>
      <c r="S15" s="29">
        <f>SUM(U9:AC9)</f>
        <v>1.4717585614356528</v>
      </c>
      <c r="T15" s="9"/>
      <c r="U15" s="9">
        <f>IF(U8&lt;&gt;0,SUM(W10:AC10),0)</f>
        <v>0</v>
      </c>
      <c r="V15" s="9"/>
      <c r="W15" s="9">
        <f>IF(W8&lt;&gt;0,SUM(Y11:AC11),0)</f>
        <v>0.40647917033969683</v>
      </c>
      <c r="X15" s="9"/>
      <c r="Y15" s="9">
        <f>IF(Y8&lt;&gt;0,SUM(AA12:AC12),0)</f>
        <v>0</v>
      </c>
      <c r="Z15" s="9"/>
      <c r="AA15" s="9">
        <f>IF(AA8&lt;&gt;0,SUM(AC13),0)</f>
        <v>0</v>
      </c>
      <c r="AB15" s="9"/>
      <c r="AC15" s="10" t="s">
        <v>67</v>
      </c>
    </row>
    <row r="16" spans="1:30" ht="15" thickBot="1" x14ac:dyDescent="0.4"/>
    <row r="17" spans="1:42" ht="19" thickBot="1" x14ac:dyDescent="0.4">
      <c r="A17" s="20" t="s">
        <v>14</v>
      </c>
      <c r="B17" s="20" t="s">
        <v>15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42" x14ac:dyDescent="0.35">
      <c r="A18" s="16" t="s">
        <v>5</v>
      </c>
      <c r="B18" s="2" t="s">
        <v>11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42" x14ac:dyDescent="0.35">
      <c r="A19" s="2" t="s">
        <v>6</v>
      </c>
      <c r="B19" s="2" t="s">
        <v>12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42" x14ac:dyDescent="0.35">
      <c r="A20" s="2" t="s">
        <v>7</v>
      </c>
      <c r="B20" s="2" t="s">
        <v>13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2" spans="1:42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42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42" ht="19" thickBot="1" x14ac:dyDescent="0.4">
      <c r="D24" s="111" t="s">
        <v>940</v>
      </c>
      <c r="E24" s="112"/>
      <c r="F24" s="112"/>
      <c r="G24" s="3"/>
      <c r="H24" s="3"/>
      <c r="I24" s="3"/>
      <c r="J24" s="3"/>
      <c r="K24" s="3"/>
      <c r="L24" s="3"/>
      <c r="M24" s="3"/>
      <c r="N24" s="3"/>
      <c r="O24" s="3"/>
      <c r="P24" s="4"/>
      <c r="R24" s="111" t="s">
        <v>962</v>
      </c>
      <c r="S24" s="112"/>
      <c r="T24" s="112"/>
      <c r="U24" s="3"/>
      <c r="V24" s="3"/>
      <c r="W24" s="3"/>
      <c r="X24" s="3"/>
      <c r="Y24" s="3"/>
      <c r="Z24" s="3"/>
      <c r="AA24" s="3"/>
      <c r="AB24" s="3"/>
      <c r="AC24" s="3"/>
      <c r="AD24" s="4"/>
      <c r="AF24" s="111" t="s">
        <v>963</v>
      </c>
      <c r="AG24" s="112"/>
      <c r="AH24" s="3"/>
      <c r="AI24" s="3"/>
      <c r="AJ24" s="3"/>
      <c r="AK24" s="3"/>
      <c r="AL24" s="3"/>
      <c r="AM24" s="3"/>
      <c r="AN24" s="3"/>
      <c r="AO24" s="3"/>
      <c r="AP24" s="4"/>
    </row>
    <row r="25" spans="1:42" ht="15" thickBot="1" x14ac:dyDescent="0.4">
      <c r="D25" s="5"/>
      <c r="E25" s="6"/>
      <c r="F25" s="6"/>
      <c r="G25" s="6"/>
      <c r="H25" s="6"/>
      <c r="I25" s="6"/>
      <c r="J25" s="6"/>
      <c r="K25" s="6"/>
      <c r="L25" s="6"/>
      <c r="M25" s="6"/>
      <c r="N25" s="6"/>
      <c r="O25" s="11">
        <f>M28*$B$11</f>
        <v>253.70425619021796</v>
      </c>
      <c r="P25" s="7"/>
      <c r="R25" s="5"/>
      <c r="S25" s="6"/>
      <c r="T25" s="6"/>
      <c r="U25" s="6"/>
      <c r="V25" s="6"/>
      <c r="W25" s="6"/>
      <c r="X25" s="6"/>
      <c r="Y25" s="6"/>
      <c r="Z25" s="6"/>
      <c r="AA25" s="6"/>
      <c r="AB25" s="6"/>
      <c r="AC25" s="11">
        <f>S40*$B$11^5</f>
        <v>251.62951367135028</v>
      </c>
      <c r="AD25" s="7"/>
      <c r="AF25" s="5"/>
      <c r="AG25" s="6"/>
      <c r="AH25" s="6"/>
      <c r="AI25" s="6"/>
      <c r="AJ25" s="6"/>
      <c r="AK25" s="6"/>
      <c r="AL25" s="6"/>
      <c r="AM25" s="6"/>
      <c r="AN25" s="6"/>
      <c r="AO25" s="6"/>
      <c r="AP25" s="7"/>
    </row>
    <row r="26" spans="1:42" x14ac:dyDescent="0.35"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12">
        <f>O27</f>
        <v>0</v>
      </c>
      <c r="P26" s="7"/>
      <c r="R26" s="5"/>
      <c r="S26" s="6"/>
      <c r="T26" s="6"/>
      <c r="U26" s="6"/>
      <c r="V26" s="6"/>
      <c r="W26" s="6"/>
      <c r="X26" s="6"/>
      <c r="Y26" s="6"/>
      <c r="Z26" s="6"/>
      <c r="AA26" s="6"/>
      <c r="AB26" s="6"/>
      <c r="AC26" s="12">
        <f>AC27</f>
        <v>0</v>
      </c>
      <c r="AD26" s="7"/>
      <c r="AF26" s="5"/>
      <c r="AG26" s="6"/>
      <c r="AH26" s="6"/>
      <c r="AI26" s="6"/>
      <c r="AJ26" s="6"/>
      <c r="AK26" s="6"/>
      <c r="AL26" s="6"/>
      <c r="AM26" s="6"/>
      <c r="AN26" s="6"/>
      <c r="AO26" s="11">
        <f>(AC26-AC32)/(AC25-AC31)</f>
        <v>0</v>
      </c>
      <c r="AP26" s="7"/>
    </row>
    <row r="27" spans="1:42" ht="15" thickBot="1" x14ac:dyDescent="0.4"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12">
        <f>MAX($B$4*(O25-$B$6),0)</f>
        <v>0</v>
      </c>
      <c r="P27" s="7"/>
      <c r="R27" s="5"/>
      <c r="S27" s="6"/>
      <c r="T27" s="6"/>
      <c r="U27" s="6"/>
      <c r="V27" s="6"/>
      <c r="W27" s="6"/>
      <c r="X27" s="6"/>
      <c r="Y27" s="6"/>
      <c r="Z27" s="6"/>
      <c r="AA27" s="6"/>
      <c r="AB27" s="6"/>
      <c r="AC27" s="12">
        <f>MAX($B$4*(AC25-$B$6),0)</f>
        <v>0</v>
      </c>
      <c r="AD27" s="7"/>
      <c r="AF27" s="5"/>
      <c r="AG27" s="6"/>
      <c r="AH27" s="6"/>
      <c r="AI27" s="6"/>
      <c r="AJ27" s="6"/>
      <c r="AK27" s="6"/>
      <c r="AL27" s="6"/>
      <c r="AM27" s="6"/>
      <c r="AN27" s="6"/>
      <c r="AO27" s="12" t="s">
        <v>9</v>
      </c>
      <c r="AP27" s="7"/>
    </row>
    <row r="28" spans="1:42" ht="16" customHeight="1" thickBot="1" x14ac:dyDescent="0.4">
      <c r="D28" s="5"/>
      <c r="E28" s="6"/>
      <c r="F28" s="6"/>
      <c r="G28" s="6"/>
      <c r="H28" s="6"/>
      <c r="I28" s="6"/>
      <c r="J28" s="6"/>
      <c r="K28" s="6"/>
      <c r="L28" s="6"/>
      <c r="M28" s="11">
        <f>K31*$B$11</f>
        <v>236.86572713564564</v>
      </c>
      <c r="N28" s="6"/>
      <c r="O28" s="13" t="s">
        <v>9</v>
      </c>
      <c r="P28" s="7"/>
      <c r="R28" s="5"/>
      <c r="S28" s="6"/>
      <c r="T28" s="6"/>
      <c r="U28" s="6"/>
      <c r="V28" s="6"/>
      <c r="W28" s="6"/>
      <c r="X28" s="6"/>
      <c r="Y28" s="6"/>
      <c r="Z28" s="6"/>
      <c r="AA28" s="11">
        <f>S40*B11^4+AA15</f>
        <v>234.92868672989709</v>
      </c>
      <c r="AB28" s="6"/>
      <c r="AC28" s="13" t="s">
        <v>9</v>
      </c>
      <c r="AD28" s="7"/>
      <c r="AE28" s="6"/>
      <c r="AF28" s="5"/>
      <c r="AG28" s="6"/>
      <c r="AH28" s="6"/>
      <c r="AI28" s="6"/>
      <c r="AJ28" s="6"/>
      <c r="AK28" s="6"/>
      <c r="AL28" s="6"/>
      <c r="AM28" s="11">
        <f>(AA29-AA35)/(AA28-AA34)</f>
        <v>0</v>
      </c>
      <c r="AN28" s="6"/>
      <c r="AO28" s="13" t="s">
        <v>9</v>
      </c>
      <c r="AP28" s="7"/>
    </row>
    <row r="29" spans="1:42" ht="15" thickBot="1" x14ac:dyDescent="0.4">
      <c r="D29" s="5"/>
      <c r="E29" s="6"/>
      <c r="F29" s="6"/>
      <c r="G29" s="6"/>
      <c r="H29" s="6"/>
      <c r="I29" s="6"/>
      <c r="J29" s="6"/>
      <c r="K29" s="6"/>
      <c r="L29" s="6"/>
      <c r="M29" s="12">
        <f>EXP(-$B$7*$B$9)*($B$13*MAX(O26,O27)+(1-$B$13)*MAX(O32,O33))</f>
        <v>0</v>
      </c>
      <c r="N29" s="6"/>
      <c r="O29" s="6"/>
      <c r="P29" s="7"/>
      <c r="R29" s="5"/>
      <c r="S29" s="6"/>
      <c r="T29" s="6"/>
      <c r="U29" s="6"/>
      <c r="V29" s="6"/>
      <c r="W29" s="6"/>
      <c r="X29" s="6"/>
      <c r="Y29" s="6"/>
      <c r="Z29" s="6"/>
      <c r="AA29" s="12">
        <f>EXP(-$B$7*$B$9)*($B$13*MAX(AC26,AC27)+(1-$B$13)*MAX(AC32,AC33))</f>
        <v>0</v>
      </c>
      <c r="AB29" s="6"/>
      <c r="AC29" s="6"/>
      <c r="AD29" s="7"/>
      <c r="AE29" s="6"/>
      <c r="AF29" s="5"/>
      <c r="AG29" s="6"/>
      <c r="AH29" s="6"/>
      <c r="AI29" s="6"/>
      <c r="AJ29" s="6"/>
      <c r="AK29" s="6"/>
      <c r="AL29" s="6"/>
      <c r="AM29" s="12">
        <f>(((AC26-AC32)/(AC25-AC31))-((AC32-AC38)/(AC31-AC37)))/(AA28-AA34)</f>
        <v>0</v>
      </c>
      <c r="AN29" s="6"/>
      <c r="AO29" s="6"/>
      <c r="AP29" s="7"/>
    </row>
    <row r="30" spans="1:42" ht="15" customHeight="1" thickBot="1" x14ac:dyDescent="0.4">
      <c r="D30" s="5"/>
      <c r="E30" s="6"/>
      <c r="F30" s="6"/>
      <c r="G30" s="6"/>
      <c r="H30" s="6"/>
      <c r="I30" s="6"/>
      <c r="J30" s="6"/>
      <c r="K30" s="6"/>
      <c r="L30" s="6"/>
      <c r="M30" s="12">
        <f>MAX($B$4*(M28-$B$6),0)</f>
        <v>0</v>
      </c>
      <c r="N30" s="6"/>
      <c r="O30" s="6"/>
      <c r="P30" s="7"/>
      <c r="R30" s="5"/>
      <c r="S30" s="6"/>
      <c r="T30" s="6"/>
      <c r="U30" s="6"/>
      <c r="V30" s="6"/>
      <c r="W30" s="6"/>
      <c r="X30" s="6"/>
      <c r="Y30" s="6"/>
      <c r="Z30" s="6"/>
      <c r="AA30" s="12">
        <f>MAX($B$4*(AA28-$B$6),0)</f>
        <v>0</v>
      </c>
      <c r="AB30" s="6"/>
      <c r="AC30" s="6"/>
      <c r="AD30" s="7"/>
      <c r="AF30" s="5"/>
      <c r="AG30" s="6"/>
      <c r="AH30" s="6"/>
      <c r="AI30" s="6"/>
      <c r="AJ30" s="6"/>
      <c r="AK30" s="11">
        <f>(Y32-Y38)/(Y31-Y37)</f>
        <v>-0.11084807929876164</v>
      </c>
      <c r="AL30" s="6"/>
      <c r="AM30" s="13">
        <f>(AC32-Y32)/(2*$B$9)</f>
        <v>0</v>
      </c>
      <c r="AN30" s="6"/>
      <c r="AO30" s="11">
        <f>(AC32-AC38)/(AC31-AC37)</f>
        <v>0</v>
      </c>
      <c r="AP30" s="7"/>
    </row>
    <row r="31" spans="1:42" ht="15" thickBot="1" x14ac:dyDescent="0.4">
      <c r="D31" s="5"/>
      <c r="E31" s="6"/>
      <c r="F31" s="6"/>
      <c r="G31" s="6"/>
      <c r="H31" s="6"/>
      <c r="I31" s="6"/>
      <c r="J31" s="6"/>
      <c r="K31" s="11">
        <f>I34*$B$11</f>
        <v>221.14478303995196</v>
      </c>
      <c r="L31" s="6"/>
      <c r="M31" s="13" t="str">
        <f>_xlfn.IFS(M30&gt;M29,"Exercise Early",M30&lt;M29,"Do Not Exercise",M29=M30,"Does Not Matter")</f>
        <v>Does Not Matter</v>
      </c>
      <c r="N31" s="6"/>
      <c r="O31" s="11">
        <f>M34*$B$11</f>
        <v>221.97631233920248</v>
      </c>
      <c r="P31" s="7"/>
      <c r="R31" s="5"/>
      <c r="S31" s="6"/>
      <c r="T31" s="6"/>
      <c r="U31" s="6"/>
      <c r="V31" s="6"/>
      <c r="W31" s="6"/>
      <c r="X31" s="6"/>
      <c r="Y31" s="11">
        <f>S40*B11^3+Y15</f>
        <v>219.33630536169514</v>
      </c>
      <c r="Z31" s="6"/>
      <c r="AA31" s="13" t="str">
        <f>_xlfn.IFS(AA30&gt;AA29,"Exercise Early",AA30&lt;AA29,"Do Not Exercise",AA29=AA30,"Does Not Matter")</f>
        <v>Does Not Matter</v>
      </c>
      <c r="AB31" s="6"/>
      <c r="AC31" s="11">
        <f>S40*B11^4*B12</f>
        <v>220.16103458112539</v>
      </c>
      <c r="AD31" s="7"/>
      <c r="AF31" s="5"/>
      <c r="AG31" s="6"/>
      <c r="AH31" s="6"/>
      <c r="AI31" s="6"/>
      <c r="AJ31" s="6"/>
      <c r="AK31" s="12">
        <f>(((AA29-AA35)/(AA28-AA34))-((AA35-AA41)/(AA34-AA40)))/(Y31-Y37)</f>
        <v>8.3614373472341384E-3</v>
      </c>
      <c r="AL31" s="6"/>
      <c r="AM31" s="6"/>
      <c r="AN31" s="6"/>
      <c r="AO31" s="12" t="s">
        <v>9</v>
      </c>
      <c r="AP31" s="7"/>
    </row>
    <row r="32" spans="1:42" ht="15" thickBot="1" x14ac:dyDescent="0.4">
      <c r="D32" s="5"/>
      <c r="E32" s="6"/>
      <c r="F32" s="6"/>
      <c r="G32" s="6"/>
      <c r="H32" s="6"/>
      <c r="I32" s="6"/>
      <c r="J32" s="6"/>
      <c r="K32" s="12">
        <f>EXP(-$B$7*$B$9)*($B$13*MAX(M29,M30)+(1-$B$13)*MAX(M35,M36))</f>
        <v>0</v>
      </c>
      <c r="L32" s="6"/>
      <c r="M32" s="6"/>
      <c r="N32" s="6"/>
      <c r="O32" s="12">
        <f>O33</f>
        <v>0</v>
      </c>
      <c r="P32" s="7"/>
      <c r="R32" s="5"/>
      <c r="S32" s="6"/>
      <c r="T32" s="6"/>
      <c r="U32" s="6"/>
      <c r="V32" s="6"/>
      <c r="W32" s="6"/>
      <c r="X32" s="6"/>
      <c r="Y32" s="12">
        <f>EXP(-$B$7*$B$9)*($B$13*MAX(AA29,AA30)+(1-$B$13)*MAX(AA35,AA36))</f>
        <v>0</v>
      </c>
      <c r="Z32" s="6"/>
      <c r="AA32" s="6"/>
      <c r="AB32" s="6"/>
      <c r="AC32" s="12">
        <f>AC33</f>
        <v>0</v>
      </c>
      <c r="AD32" s="7"/>
      <c r="AF32" s="5"/>
      <c r="AG32" s="6"/>
      <c r="AH32" s="6"/>
      <c r="AI32" s="11">
        <f>(W35-W41)/(W34-W40)</f>
        <v>-0.28822080863035782</v>
      </c>
      <c r="AJ32" s="6"/>
      <c r="AK32" s="13">
        <f>(AA35-W35)/(2*$B$9)</f>
        <v>-9.4085402836328171</v>
      </c>
      <c r="AL32" s="6"/>
      <c r="AM32" s="11">
        <f>(AA35-AA41)/(AA34-AA40)</f>
        <v>-0.22935364090349081</v>
      </c>
      <c r="AN32" s="6"/>
      <c r="AO32" s="13" t="s">
        <v>9</v>
      </c>
      <c r="AP32" s="7"/>
    </row>
    <row r="33" spans="4:42" ht="15" thickBot="1" x14ac:dyDescent="0.4">
      <c r="D33" s="5"/>
      <c r="E33" s="6"/>
      <c r="F33" s="6"/>
      <c r="G33" s="6"/>
      <c r="H33" s="6"/>
      <c r="I33" s="6"/>
      <c r="J33" s="6"/>
      <c r="K33" s="12">
        <f>MAX($B$4*(K31-$B$6),0)</f>
        <v>0</v>
      </c>
      <c r="L33" s="6"/>
      <c r="M33" s="6"/>
      <c r="N33" s="6"/>
      <c r="O33" s="12">
        <f>MAX($B$4*(O31-$B$6),0)</f>
        <v>0</v>
      </c>
      <c r="P33" s="7"/>
      <c r="R33" s="5"/>
      <c r="S33" s="6"/>
      <c r="T33" s="6"/>
      <c r="U33" s="6"/>
      <c r="V33" s="6"/>
      <c r="W33" s="6"/>
      <c r="X33" s="6"/>
      <c r="Y33" s="12">
        <f>MAX($B$4*(Y31-$B$6),0)</f>
        <v>0</v>
      </c>
      <c r="Z33" s="6"/>
      <c r="AA33" s="6"/>
      <c r="AB33" s="6"/>
      <c r="AC33" s="12">
        <f>MAX($B$4*(AC31-$B$6),0)</f>
        <v>0</v>
      </c>
      <c r="AD33" s="7"/>
      <c r="AF33" s="5"/>
      <c r="AG33" s="6"/>
      <c r="AH33" s="6"/>
      <c r="AI33" s="12">
        <f>(((Y32-Y38)/(Y31-Y37))-((Y38-Y44)/(Y37-Y43)))/(W35-W41)</f>
        <v>-4.9720995039425314E-2</v>
      </c>
      <c r="AJ33" s="6"/>
      <c r="AK33" s="6"/>
      <c r="AL33" s="6"/>
      <c r="AM33" s="12">
        <f>(((AC32-AC38)/(AC31-AC37))-((AC38-AC44)/(AC37-AC43)))/(AA34-AA40)</f>
        <v>1.8460948038627287E-2</v>
      </c>
      <c r="AN33" s="6"/>
      <c r="AO33" s="6"/>
      <c r="AP33" s="7"/>
    </row>
    <row r="34" spans="4:42" ht="15" thickBot="1" x14ac:dyDescent="0.4">
      <c r="D34" s="5"/>
      <c r="E34" s="6"/>
      <c r="F34" s="6"/>
      <c r="G34" s="6"/>
      <c r="H34" s="6"/>
      <c r="I34" s="11">
        <f>(G37*$B$11)</f>
        <v>206.46724900720247</v>
      </c>
      <c r="J34" s="6"/>
      <c r="K34" s="13" t="str">
        <f>_xlfn.IFS(K33&gt;K32,"Exercise Early",K33&lt;K32,"Do Not Exercise",K32=K33,"Does Not Matter")</f>
        <v>Does Not Matter</v>
      </c>
      <c r="L34" s="6"/>
      <c r="M34" s="11">
        <f>K37*$B$11</f>
        <v>207.24358912486252</v>
      </c>
      <c r="N34" s="6"/>
      <c r="O34" s="13" t="s">
        <v>9</v>
      </c>
      <c r="P34" s="7"/>
      <c r="R34" s="5"/>
      <c r="S34" s="6"/>
      <c r="T34" s="6"/>
      <c r="U34" s="6"/>
      <c r="V34" s="6"/>
      <c r="W34" s="11">
        <f>S40*B11^2+W15</f>
        <v>205.18528042857059</v>
      </c>
      <c r="X34" s="6"/>
      <c r="Y34" s="13" t="str">
        <f>_xlfn.IFS(Y33&gt;Y32,"Exercise Early",Y33&lt;Y32,"Do Not Exercise",Y32=Y33,"Does Not Matter")</f>
        <v>Does Not Matter</v>
      </c>
      <c r="Z34" s="6"/>
      <c r="AA34" s="11">
        <f>S40*B11^3*B12+AA15</f>
        <v>205.54879262212779</v>
      </c>
      <c r="AB34" s="6"/>
      <c r="AC34" s="13" t="s">
        <v>9</v>
      </c>
      <c r="AD34" s="7"/>
      <c r="AF34" s="5"/>
      <c r="AG34" s="11">
        <f>(U38-U44)/(U37-U43)</f>
        <v>-0.47463188910667653</v>
      </c>
      <c r="AH34" s="6"/>
      <c r="AI34" s="13">
        <f>(Y38-U38)/(2*$B$9)</f>
        <v>-13.987454452385418</v>
      </c>
      <c r="AJ34" s="6"/>
      <c r="AK34" s="11">
        <f>(Y38-Y44)/(Y37-Y43)</f>
        <v>-0.47784660129882139</v>
      </c>
      <c r="AL34" s="6"/>
      <c r="AM34" s="13">
        <f>(AC38-Y38)/(2*$B$9)</f>
        <v>-18.243330316460199</v>
      </c>
      <c r="AN34" s="6"/>
      <c r="AO34" s="11">
        <f>(AC38-AC44)/(AC37-AC43)</f>
        <v>-0.47455123199663113</v>
      </c>
      <c r="AP34" s="7"/>
    </row>
    <row r="35" spans="4:42" ht="15" thickBot="1" x14ac:dyDescent="0.4">
      <c r="D35" s="5"/>
      <c r="E35" s="6"/>
      <c r="F35" s="6"/>
      <c r="G35" s="6"/>
      <c r="H35" s="6"/>
      <c r="I35" s="12">
        <f>EXP(-$B$7*$B$9)*($B$13*MAX(K32,K33)+(1-$B$13)*MAX(K38,K39))</f>
        <v>1.3774758580699462</v>
      </c>
      <c r="J35" s="6"/>
      <c r="K35" s="6"/>
      <c r="L35" s="6"/>
      <c r="M35" s="12">
        <f>EXP(-$B$7*$B$9)*($B$13*MAX(O32,O33)+(1-$B$13)*MAX(O38,O39))</f>
        <v>0</v>
      </c>
      <c r="N35" s="6"/>
      <c r="O35" s="6"/>
      <c r="P35" s="7"/>
      <c r="R35" s="5"/>
      <c r="S35" s="6"/>
      <c r="T35" s="6"/>
      <c r="U35" s="6"/>
      <c r="V35" s="6"/>
      <c r="W35" s="12">
        <f>EXP(-$B$7*$B$9)*($B$13*MAX(Y32,Y33)+(1-$B$13)*MAX(Y38,Y39))</f>
        <v>1.568090047272136</v>
      </c>
      <c r="X35" s="6"/>
      <c r="Y35" s="6"/>
      <c r="Z35" s="6"/>
      <c r="AA35" s="12">
        <f>EXP(-$B$7*$B$9)*($B$13*MAX(AC32,AC33)+(1-$B$13)*MAX(AC38,AC39))</f>
        <v>0</v>
      </c>
      <c r="AB35" s="6"/>
      <c r="AC35" s="6"/>
      <c r="AD35" s="7"/>
      <c r="AF35" s="5"/>
      <c r="AG35" s="12">
        <f>(((W35-W41)/(W34-W40))-((W41-W47)/(W40-W46)))/(U37-U43)</f>
        <v>1.6131529469527409E-2</v>
      </c>
      <c r="AH35" s="6"/>
      <c r="AI35" s="6"/>
      <c r="AJ35" s="6"/>
      <c r="AK35" s="12">
        <f>(((AA35-AA41)/(AA34-AA40))-((AA41-AA47)/(AA40-AA46)))/(Y37-Y43)</f>
        <v>2.079829768363849E-2</v>
      </c>
      <c r="AL35" s="6"/>
      <c r="AM35" s="6"/>
      <c r="AN35" s="6"/>
      <c r="AO35" s="12" t="s">
        <v>9</v>
      </c>
      <c r="AP35" s="7"/>
    </row>
    <row r="36" spans="4:42" ht="15" thickBot="1" x14ac:dyDescent="0.4">
      <c r="D36" s="5"/>
      <c r="E36" s="6"/>
      <c r="F36" s="6"/>
      <c r="G36" s="6"/>
      <c r="H36" s="6"/>
      <c r="I36" s="12">
        <f>MAX($B$4*(I34-$B$6),0)</f>
        <v>0</v>
      </c>
      <c r="J36" s="6"/>
      <c r="K36" s="6"/>
      <c r="L36" s="6"/>
      <c r="M36" s="12">
        <f>MAX($B$4*(M34-$B$6),0)</f>
        <v>0</v>
      </c>
      <c r="N36" s="6"/>
      <c r="O36" s="6"/>
      <c r="P36" s="7"/>
      <c r="R36" s="5"/>
      <c r="S36" s="6"/>
      <c r="T36" s="6"/>
      <c r="U36" s="6"/>
      <c r="V36" s="6"/>
      <c r="W36" s="12">
        <f>MAX($B$4*(W34-$B$6),0)</f>
        <v>0</v>
      </c>
      <c r="X36" s="6"/>
      <c r="Y36" s="6"/>
      <c r="Z36" s="6"/>
      <c r="AA36" s="12">
        <f>MAX($B$4*(AA34-$B$6),0)</f>
        <v>0</v>
      </c>
      <c r="AB36" s="6"/>
      <c r="AC36" s="6"/>
      <c r="AD36" s="7"/>
      <c r="AF36" s="5"/>
      <c r="AG36" s="13">
        <f>(W41-S41)/(2*$B$9)</f>
        <v>-13.590458186743867</v>
      </c>
      <c r="AH36" s="6"/>
      <c r="AI36" s="11">
        <f>(W41-W47)/(W40-W46)</f>
        <v>-0.67392041012516524</v>
      </c>
      <c r="AJ36" s="6"/>
      <c r="AK36" s="13">
        <f>(AA41-W41)/(2*$B$9)</f>
        <v>-18.321340001787203</v>
      </c>
      <c r="AL36" s="6"/>
      <c r="AM36" s="11">
        <f>(AA41-AA47)/(AA40-AA46)</f>
        <v>-0.7285039770833468</v>
      </c>
      <c r="AN36" s="6"/>
      <c r="AO36" s="13" t="s">
        <v>9</v>
      </c>
      <c r="AP36" s="7"/>
    </row>
    <row r="37" spans="4:42" ht="15" thickBot="1" x14ac:dyDescent="0.4">
      <c r="D37" s="5"/>
      <c r="E37" s="6"/>
      <c r="F37" s="6"/>
      <c r="G37" s="11">
        <f>(E40*$B$11)</f>
        <v>192.76387318122198</v>
      </c>
      <c r="H37" s="6"/>
      <c r="I37" s="13" t="str">
        <f>_xlfn.IFS(I36&gt;I35,"Exercise Early",I36&lt;I35,"Do Not Exercise",I35=I36,"Does Not Matter")</f>
        <v>Do Not Exercise</v>
      </c>
      <c r="J37" s="6"/>
      <c r="K37" s="11">
        <f>I40*$B$11</f>
        <v>193.4886870619014</v>
      </c>
      <c r="L37" s="6"/>
      <c r="M37" s="13" t="str">
        <f>_xlfn.IFS(M36&gt;M35,"Exercise Early",M36&lt;M35,"Do Not Exercise",M35=M36,"Does Not Matter")</f>
        <v>Does Not Matter</v>
      </c>
      <c r="N37" s="6"/>
      <c r="O37" s="11">
        <f>M40*$B$11</f>
        <v>194.21622632443251</v>
      </c>
      <c r="P37" s="7"/>
      <c r="R37" s="5"/>
      <c r="S37" s="6"/>
      <c r="T37" s="6"/>
      <c r="U37" s="11">
        <f>S40*$B$11+U15</f>
        <v>191.18748889111828</v>
      </c>
      <c r="V37" s="6"/>
      <c r="W37" s="13" t="str">
        <f>_xlfn.IFS(W36&gt;W35,"Exercise Early",W36&lt;W35,"Do Not Exercise",W35=W36,"Does Not Matter")</f>
        <v>Do Not Exercise</v>
      </c>
      <c r="X37" s="6"/>
      <c r="Y37" s="11">
        <f>S40*B11^2*B12+Y15</f>
        <v>191.90637538926543</v>
      </c>
      <c r="Z37" s="6"/>
      <c r="AA37" s="13" t="str">
        <f>_xlfn.IFS(AA36&gt;AA35,"Exercise Early",AA36&lt;AA35,"Do Not Exercise",AA35=AA36,"Does Not Matter")</f>
        <v>Does Not Matter</v>
      </c>
      <c r="AB37" s="6"/>
      <c r="AC37" s="11">
        <f>S40*B12^2*B11^3</f>
        <v>192.62796498163809</v>
      </c>
      <c r="AD37" s="7"/>
      <c r="AF37" s="5"/>
      <c r="AG37" s="6"/>
      <c r="AH37" s="6"/>
      <c r="AI37" s="12">
        <f>(((Y38-Y44)/(Y37-Y43))-((Y44-Y50)/(Y43-Y49)))/(W40-W46)</f>
        <v>1.7388740070011094E-2</v>
      </c>
      <c r="AJ37" s="6"/>
      <c r="AK37" s="6"/>
      <c r="AL37" s="6"/>
      <c r="AM37" s="12">
        <f>(((AC38-AC44)/(AC37-AC43))-((AC44-AC50)/(AC43-AC49)))/(AA40-AA46)</f>
        <v>2.3362665645945521E-2</v>
      </c>
      <c r="AN37" s="6"/>
      <c r="AO37" s="6"/>
      <c r="AP37" s="7"/>
    </row>
    <row r="38" spans="4:42" ht="15" thickBot="1" x14ac:dyDescent="0.4">
      <c r="D38" s="5"/>
      <c r="E38" s="6"/>
      <c r="F38" s="6"/>
      <c r="G38" s="12">
        <f>EXP(-$B$7*$B$9)*($B$13*MAX(I35,I36)+(1-$B$13)*MAX(I41,I42))</f>
        <v>4.9179774448541487</v>
      </c>
      <c r="H38" s="6"/>
      <c r="I38" s="6"/>
      <c r="J38" s="6"/>
      <c r="K38" s="12">
        <f>EXP(-$B$7*$B$9)*($B$13*MAX(M35,M36)+(1-$B$13)*MAX(M41,M42))</f>
        <v>2.6709506814181809</v>
      </c>
      <c r="L38" s="6"/>
      <c r="M38" s="6"/>
      <c r="N38" s="6"/>
      <c r="O38" s="12">
        <f>O39</f>
        <v>0</v>
      </c>
      <c r="P38" s="7"/>
      <c r="R38" s="5"/>
      <c r="S38" s="6"/>
      <c r="T38" s="6"/>
      <c r="U38" s="12">
        <f>EXP(-$B$7*$B$9)*($B$13*MAX(W35,W36)+(1-$B$13)*MAX(W41,W42))</f>
        <v>5.3717974614742694</v>
      </c>
      <c r="V38" s="6"/>
      <c r="W38" s="6"/>
      <c r="X38" s="6"/>
      <c r="Y38" s="12">
        <f>EXP(-$B$7*$B$9)*($B$13*MAX(AA35,AA36)+(1-$B$13)*MAX(AA41,AA42))</f>
        <v>3.0405550527433665</v>
      </c>
      <c r="Z38" s="6"/>
      <c r="AA38" s="6"/>
      <c r="AB38" s="6"/>
      <c r="AC38" s="12">
        <f>AC39</f>
        <v>0</v>
      </c>
      <c r="AD38" s="7"/>
      <c r="AF38" s="5"/>
      <c r="AG38" s="6"/>
      <c r="AH38" s="6"/>
      <c r="AI38" s="13">
        <f>(Y44-U44)/(2*$B$9)</f>
        <v>-13.268518893577518</v>
      </c>
      <c r="AJ38" s="6"/>
      <c r="AK38" s="11">
        <f>(Y44-Y50)/(Y43-Y49)</f>
        <v>-0.86747101911661617</v>
      </c>
      <c r="AL38" s="6"/>
      <c r="AM38" s="13">
        <f>(AC44-Y44)/(2*$B$9)</f>
        <v>-18.460910938473727</v>
      </c>
      <c r="AN38" s="6"/>
      <c r="AO38" s="11">
        <f>(AC44-AC50)/(AC43-AC49)</f>
        <v>-1</v>
      </c>
      <c r="AP38" s="7"/>
    </row>
    <row r="39" spans="4:42" ht="15" thickBot="1" x14ac:dyDescent="0.4">
      <c r="D39" s="5"/>
      <c r="E39" s="6"/>
      <c r="F39" s="6"/>
      <c r="G39" s="12">
        <f>MAX($B$4*(G37-$B$6),0)</f>
        <v>0</v>
      </c>
      <c r="H39" s="6"/>
      <c r="I39" s="6"/>
      <c r="J39" s="6"/>
      <c r="K39" s="12">
        <f>MAX($B$4*(K37-$B$6),0)</f>
        <v>0</v>
      </c>
      <c r="L39" s="6"/>
      <c r="M39" s="6"/>
      <c r="N39" s="6"/>
      <c r="O39" s="12">
        <f>MAX($B$4*(O37-$B$6),0)</f>
        <v>0</v>
      </c>
      <c r="P39" s="7"/>
      <c r="R39" s="5"/>
      <c r="S39" s="6"/>
      <c r="T39" s="6"/>
      <c r="U39" s="12">
        <f>MAX($B$4*(U37-$B$6),0)</f>
        <v>0</v>
      </c>
      <c r="V39" s="6"/>
      <c r="W39" s="6"/>
      <c r="X39" s="6"/>
      <c r="Y39" s="12">
        <f>MAX($B$4*(Y37-$B$6),0)</f>
        <v>0</v>
      </c>
      <c r="Z39" s="6"/>
      <c r="AA39" s="6"/>
      <c r="AB39" s="6"/>
      <c r="AC39" s="12">
        <f>MAX($B$4*(AC37-$B$6),0)</f>
        <v>0</v>
      </c>
      <c r="AD39" s="7"/>
      <c r="AF39" s="5"/>
      <c r="AG39" s="6"/>
      <c r="AH39" s="6"/>
      <c r="AI39" s="6"/>
      <c r="AJ39" s="6"/>
      <c r="AK39" s="12">
        <f>(((AA41-AA47)/(AA40-AA46))-((AA47-AA53)/(AA46-AA52)))/(Y43-Y49)</f>
        <v>1.2929478696092147E-2</v>
      </c>
      <c r="AL39" s="6"/>
      <c r="AM39" s="6"/>
      <c r="AN39" s="6"/>
      <c r="AO39" s="12" t="s">
        <v>9</v>
      </c>
      <c r="AP39" s="7"/>
    </row>
    <row r="40" spans="4:42" ht="15" thickBot="1" x14ac:dyDescent="0.4">
      <c r="D40" s="5"/>
      <c r="E40" s="11">
        <f>B5</f>
        <v>179.97</v>
      </c>
      <c r="F40" s="6"/>
      <c r="G40" s="13" t="str">
        <f>_xlfn.IFS(G39&gt;G38,"Exercise Early",G39&lt;G38,"Do Not Exercise",G38=G39,"Does Not Matter")</f>
        <v>Do Not Exercise</v>
      </c>
      <c r="H40" s="6"/>
      <c r="I40" s="41">
        <f>G43*$B$11</f>
        <v>180.64670747611117</v>
      </c>
      <c r="J40" s="6"/>
      <c r="K40" s="13" t="str">
        <f>_xlfn.IFS(K39&gt;K38,"Exercise Early",K39&lt;K38,"Do Not Exercise",K38=K39,"Does Not Matter")</f>
        <v>Do Not Exercise</v>
      </c>
      <c r="L40" s="6"/>
      <c r="M40" s="41">
        <f>K43*$B$11</f>
        <v>181.32595944857297</v>
      </c>
      <c r="N40" s="6"/>
      <c r="O40" s="13" t="s">
        <v>9</v>
      </c>
      <c r="P40" s="7"/>
      <c r="R40" s="5"/>
      <c r="S40" s="11">
        <f>B5-S15</f>
        <v>178.49824143856435</v>
      </c>
      <c r="T40" s="6"/>
      <c r="U40" s="13" t="str">
        <f>_xlfn.IFS(U39&gt;U38,"Exercise Early",U39&lt;U38,"Do Not Exercise",U38=U39,"Does Not Matter")</f>
        <v>Do Not Exercise</v>
      </c>
      <c r="V40" s="6"/>
      <c r="W40" s="41">
        <f>S40*B12*B11+W15</f>
        <v>179.57589410701027</v>
      </c>
      <c r="X40" s="6"/>
      <c r="Y40" s="13" t="str">
        <f>_xlfn.IFS(Y39&gt;Y38,"Exercise Early",Y39&lt;Y38,"Do Not Exercise",Y38=Y39,"Does Not Matter")</f>
        <v>Do Not Exercise</v>
      </c>
      <c r="Z40" s="6"/>
      <c r="AA40" s="41">
        <f>S40*B12^2*B11^2+AA15</f>
        <v>179.84311212274659</v>
      </c>
      <c r="AB40" s="6"/>
      <c r="AC40" s="13" t="s">
        <v>9</v>
      </c>
      <c r="AD40" s="7"/>
      <c r="AF40" s="5"/>
      <c r="AG40" s="6"/>
      <c r="AH40" s="6"/>
      <c r="AI40" s="6"/>
      <c r="AJ40" s="6"/>
      <c r="AK40" s="13">
        <f>(AA47-W47)/(2*$B$9)</f>
        <v>-10.614845396393264</v>
      </c>
      <c r="AL40" s="6"/>
      <c r="AM40" s="11">
        <f>(AA47-AA53)/(AA46-AA52)</f>
        <v>-0.99999999999999911</v>
      </c>
      <c r="AN40" s="6"/>
      <c r="AO40" s="13" t="s">
        <v>9</v>
      </c>
      <c r="AP40" s="7"/>
    </row>
    <row r="41" spans="4:42" ht="15" thickBot="1" x14ac:dyDescent="0.4">
      <c r="D41" s="5"/>
      <c r="E41" s="12">
        <f>EXP(-$B$7*$B$9)*($B$13*MAX(G38,G39)+(1-$B$13)*MAX(G44,G45))</f>
        <v>10.524477760097669</v>
      </c>
      <c r="F41" s="6"/>
      <c r="G41" s="6"/>
      <c r="H41" s="6"/>
      <c r="I41" s="12">
        <f>EXP(-$B$7*$B$9)*($B$13*MAX(K38,K39)+(1-$B$13)*MAX(K44,K45))</f>
        <v>8.2475800937381631</v>
      </c>
      <c r="J41" s="6"/>
      <c r="K41" s="6"/>
      <c r="L41" s="6"/>
      <c r="M41" s="12">
        <f>EXP(-$B$7*$B$9)*($B$13*MAX(O38,O39)+(1-$B$13)*MAX(O44,O45))</f>
        <v>5.1790218324145698</v>
      </c>
      <c r="N41" s="6"/>
      <c r="O41" s="6"/>
      <c r="P41" s="7"/>
      <c r="R41" s="5"/>
      <c r="S41" s="12">
        <f>EXP(-$B$7*$B$9)*($B$13*MAX(U38,U39)+(1-$B$13)*MAX(U44,U45))</f>
        <v>11.214324445856787</v>
      </c>
      <c r="T41" s="6"/>
      <c r="U41" s="6"/>
      <c r="V41" s="6"/>
      <c r="W41" s="12">
        <f>EXP(-$B$7*$B$9)*($B$13*MAX(Y38,Y39)+(1-$B$13)*MAX(Y44,Y45))</f>
        <v>8.9492480813994764</v>
      </c>
      <c r="X41" s="6"/>
      <c r="Y41" s="6"/>
      <c r="Z41" s="6"/>
      <c r="AA41" s="12">
        <f>EXP(-$B$7*$B$9)*($B$13*MAX(AC38,AC39)+(1-$B$13)*MAX(AC44,AC45))</f>
        <v>5.8956914144349426</v>
      </c>
      <c r="AB41" s="6"/>
      <c r="AC41" s="6"/>
      <c r="AD41" s="7"/>
      <c r="AF41" s="5"/>
      <c r="AG41" s="6"/>
      <c r="AH41" s="6"/>
      <c r="AI41" s="6"/>
      <c r="AJ41" s="6"/>
      <c r="AK41" s="6"/>
      <c r="AL41" s="6"/>
      <c r="AM41" s="12">
        <f>(((AC44-AC50)/(AC43-AC49))-((AC50-AC56)/(AC49-AC55)))/(AA46-AA52)</f>
        <v>0</v>
      </c>
      <c r="AN41" s="6"/>
      <c r="AO41" s="6"/>
      <c r="AP41" s="7"/>
    </row>
    <row r="42" spans="4:42" ht="15" thickBot="1" x14ac:dyDescent="0.4">
      <c r="D42" s="5"/>
      <c r="E42" s="12">
        <f>MAX($B$4*(E40-$B$6),0)</f>
        <v>0</v>
      </c>
      <c r="F42" s="6"/>
      <c r="G42" s="6"/>
      <c r="H42" s="6"/>
      <c r="I42" s="12">
        <f>MAX($B$4*(I40-$B$6),0)</f>
        <v>0</v>
      </c>
      <c r="J42" s="6"/>
      <c r="K42" s="6"/>
      <c r="L42" s="6"/>
      <c r="M42" s="12">
        <f>MAX($B$4*(M40-$B$6),0)</f>
        <v>0</v>
      </c>
      <c r="N42" s="6"/>
      <c r="O42" s="6"/>
      <c r="P42" s="7"/>
      <c r="R42" s="5"/>
      <c r="S42" s="12">
        <f>MAX($B$4*(S40-$B$6),0)</f>
        <v>1.4717585614356494</v>
      </c>
      <c r="T42" s="6"/>
      <c r="U42" s="6"/>
      <c r="V42" s="6"/>
      <c r="W42" s="12">
        <f>MAX($B$4*(W40-$B$6),0)</f>
        <v>0.39410589298972809</v>
      </c>
      <c r="X42" s="6"/>
      <c r="Y42" s="6"/>
      <c r="Z42" s="6"/>
      <c r="AA42" s="12">
        <f>MAX($B$4*(AA40-$B$6),0)</f>
        <v>0.12688787725340944</v>
      </c>
      <c r="AB42" s="6"/>
      <c r="AC42" s="6"/>
      <c r="AD42" s="7"/>
      <c r="AF42" s="5"/>
      <c r="AG42" s="6"/>
      <c r="AH42" s="6"/>
      <c r="AI42" s="6"/>
      <c r="AJ42" s="6"/>
      <c r="AK42" s="6"/>
      <c r="AL42" s="6"/>
      <c r="AM42" s="13">
        <f>(AC50-Y50)/(2*$B$9)</f>
        <v>-1.289941682224665</v>
      </c>
      <c r="AN42" s="6"/>
      <c r="AO42" s="11">
        <f>(AC50-AC56)/(AC49-AC55)</f>
        <v>-1</v>
      </c>
      <c r="AP42" s="7"/>
    </row>
    <row r="43" spans="4:42" ht="15" thickBot="1" x14ac:dyDescent="0.4">
      <c r="D43" s="5"/>
      <c r="E43" s="13" t="str">
        <f>_xlfn.IFS(E42&gt;E41,"Exercise Early",E42&lt;E41,"Do Not Exercise",E41=E42,"Does Not Matter")</f>
        <v>Do Not Exercise</v>
      </c>
      <c r="F43" s="6"/>
      <c r="G43" s="11">
        <f>(E40*$B$12)</f>
        <v>168.65705906371451</v>
      </c>
      <c r="H43" s="6"/>
      <c r="I43" s="13" t="str">
        <f>_xlfn.IFS(I42&gt;I41,"Exercise Early",I42&lt;I41,"Do Not Exercise",I41=I42,"Does Not Matter")</f>
        <v>Do Not Exercise</v>
      </c>
      <c r="J43" s="6"/>
      <c r="K43" s="11">
        <f>I46*$B$11</f>
        <v>169.29122860734589</v>
      </c>
      <c r="L43" s="6"/>
      <c r="M43" s="13" t="str">
        <f>_xlfn.IFS(M42&gt;M41,"Exercise Early",M42&lt;M41,"Do Not Exercise",M41=M42,"Does Not Matter")</f>
        <v>Do Not Exercise</v>
      </c>
      <c r="N43" s="6"/>
      <c r="O43" s="11">
        <f>M46*$B$11</f>
        <v>169.92778269990927</v>
      </c>
      <c r="P43" s="7"/>
      <c r="R43" s="5"/>
      <c r="S43" s="13" t="str">
        <f>_xlfn.IFS(S42&gt;S41,"Exercise Early",S42&lt;S41,"Do Not Exercise",S41=S42,"Does Not Matter")</f>
        <v>Do Not Exercise</v>
      </c>
      <c r="T43" s="6"/>
      <c r="U43" s="11">
        <f>S40*B12+U15</f>
        <v>167.27781546409469</v>
      </c>
      <c r="V43" s="6"/>
      <c r="W43" s="13" t="str">
        <f>_xlfn.IFS(W42&gt;W41,"Exercise Early",W42&lt;W41,"Do Not Exercise",W41=W42,"Does Not Matter")</f>
        <v>Do Not Exercise</v>
      </c>
      <c r="X43" s="6"/>
      <c r="Y43" s="11">
        <f>S40*B12^2*B11+Y15</f>
        <v>167.90679889640057</v>
      </c>
      <c r="Z43" s="6"/>
      <c r="AA43" s="13" t="str">
        <f>_xlfn.IFS(AA42&gt;AA41,"Exercise Early",AA42&lt;AA41,"Do Not Exercise",AA41=AA42,"Does Not Matter")</f>
        <v>Do Not Exercise</v>
      </c>
      <c r="AB43" s="6"/>
      <c r="AC43" s="11">
        <f>S40*B12^3*B11^2</f>
        <v>168.53814737727569</v>
      </c>
      <c r="AD43" s="7"/>
      <c r="AF43" s="5"/>
      <c r="AG43" s="6"/>
      <c r="AH43" s="6"/>
      <c r="AI43" s="6"/>
      <c r="AJ43" s="6"/>
      <c r="AK43" s="6"/>
      <c r="AL43" s="6"/>
      <c r="AM43" s="6"/>
      <c r="AN43" s="6"/>
      <c r="AO43" s="12" t="s">
        <v>9</v>
      </c>
      <c r="AP43" s="7"/>
    </row>
    <row r="44" spans="4:42" ht="15" thickBot="1" x14ac:dyDescent="0.4">
      <c r="D44" s="5"/>
      <c r="E44" s="6"/>
      <c r="F44" s="6"/>
      <c r="G44" s="12">
        <f>EXP(-$B$7*$B$9)*($B$13*MAX(I41,I42)+(1-$B$13)*MAX(I47,I48))</f>
        <v>15.806961184268498</v>
      </c>
      <c r="H44" s="6"/>
      <c r="I44" s="6"/>
      <c r="J44" s="6"/>
      <c r="K44" s="12">
        <f>EXP(-$B$7*$B$9)*($B$13*MAX(M41,M42)+(1-$B$13)*MAX(M47,M48))</f>
        <v>13.493845772849861</v>
      </c>
      <c r="L44" s="6"/>
      <c r="M44" s="6"/>
      <c r="N44" s="6"/>
      <c r="O44" s="12">
        <f>O45</f>
        <v>10.042217300090726</v>
      </c>
      <c r="P44" s="7"/>
      <c r="R44" s="5"/>
      <c r="S44" s="6"/>
      <c r="T44" s="6"/>
      <c r="U44" s="12">
        <f>EXP(-$B$7*$B$9)*($B$13*MAX(W41,W42)+(1-$B$13)*MAX(W47,W48))</f>
        <v>16.720090928066181</v>
      </c>
      <c r="V44" s="6"/>
      <c r="W44" s="6"/>
      <c r="X44" s="6"/>
      <c r="Y44" s="12">
        <f>EXP(-$B$7*$B$9)*($B$13*MAX(AA41,AA42)+(1-$B$13)*MAX(AA47,AA48))</f>
        <v>14.508671112469928</v>
      </c>
      <c r="Z44" s="6"/>
      <c r="AA44" s="6"/>
      <c r="AB44" s="6"/>
      <c r="AC44" s="12">
        <f>AC45</f>
        <v>11.431852622724307</v>
      </c>
      <c r="AD44" s="7"/>
      <c r="AF44" s="5"/>
      <c r="AG44" s="6"/>
      <c r="AH44" s="6"/>
      <c r="AI44" s="6"/>
      <c r="AJ44" s="6"/>
      <c r="AK44" s="6"/>
      <c r="AL44" s="6"/>
      <c r="AM44" s="6"/>
      <c r="AN44" s="6"/>
      <c r="AO44" s="13" t="s">
        <v>9</v>
      </c>
      <c r="AP44" s="7"/>
    </row>
    <row r="45" spans="4:42" ht="15" thickBot="1" x14ac:dyDescent="0.4">
      <c r="D45" s="5"/>
      <c r="E45" s="6"/>
      <c r="F45" s="6"/>
      <c r="G45" s="12">
        <f>MAX($B$4*(G43-$B$6),0)</f>
        <v>11.312940936285486</v>
      </c>
      <c r="H45" s="6"/>
      <c r="I45" s="6"/>
      <c r="J45" s="6"/>
      <c r="K45" s="12">
        <f>MAX($B$4*(K43-$B$6),0)</f>
        <v>10.678771392654113</v>
      </c>
      <c r="L45" s="6"/>
      <c r="M45" s="6"/>
      <c r="N45" s="6"/>
      <c r="O45" s="12">
        <f>MAX($B$4*(O43-$B$6),0)</f>
        <v>10.042217300090726</v>
      </c>
      <c r="P45" s="7"/>
      <c r="R45" s="5"/>
      <c r="S45" s="6"/>
      <c r="T45" s="6"/>
      <c r="U45" s="12">
        <f>MAX($B$4*(U43-$B$6),0)</f>
        <v>12.692184535905312</v>
      </c>
      <c r="V45" s="6"/>
      <c r="W45" s="6"/>
      <c r="X45" s="6"/>
      <c r="Y45" s="12">
        <f>MAX($B$4*(Y43-$B$6),0)</f>
        <v>12.063201103599425</v>
      </c>
      <c r="Z45" s="6"/>
      <c r="AA45" s="6"/>
      <c r="AB45" s="6"/>
      <c r="AC45" s="12">
        <f>MAX($B$4*(AC43-$B$6),0)</f>
        <v>11.431852622724307</v>
      </c>
      <c r="AD45" s="7"/>
      <c r="AF45" s="5"/>
      <c r="AG45" s="6"/>
      <c r="AH45" s="6"/>
      <c r="AI45" s="6"/>
      <c r="AJ45" s="6"/>
      <c r="AK45" s="6"/>
      <c r="AL45" s="6"/>
      <c r="AM45" s="6"/>
      <c r="AN45" s="6"/>
      <c r="AO45" s="6"/>
      <c r="AP45" s="7"/>
    </row>
    <row r="46" spans="4:42" ht="15" thickBot="1" x14ac:dyDescent="0.4">
      <c r="D46" s="5"/>
      <c r="E46" s="6"/>
      <c r="F46" s="6"/>
      <c r="G46" s="13" t="str">
        <f>_xlfn.IFS(G45&gt;G44,"Exercise Early",G45&lt;G44,"Do Not Exercise",G44=G45,"Does Not Matter")</f>
        <v>Do Not Exercise</v>
      </c>
      <c r="H46" s="6"/>
      <c r="I46" s="11">
        <f>G43*$B$12</f>
        <v>158.05525127533079</v>
      </c>
      <c r="J46" s="6"/>
      <c r="K46" s="13" t="str">
        <f>_xlfn.IFS(K45&gt;K44,"Exercise Early",K45&lt;K44,"Do Not Exercise",K44=K45,"Does Not Matter")</f>
        <v>Do Not Exercise</v>
      </c>
      <c r="L46" s="6"/>
      <c r="M46" s="11">
        <f>K49*$B$11</f>
        <v>158.64955682723746</v>
      </c>
      <c r="N46" s="6"/>
      <c r="O46" s="13" t="s">
        <v>9</v>
      </c>
      <c r="P46" s="7"/>
      <c r="R46" s="5"/>
      <c r="S46" s="6"/>
      <c r="T46" s="6"/>
      <c r="U46" s="13" t="str">
        <f>_xlfn.IFS(U45&gt;U44,"Exercise Early",U45&lt;U44,"Do Not Exercise",U44=U45,"Does Not Matter")</f>
        <v>Do Not Exercise</v>
      </c>
      <c r="V46" s="6"/>
      <c r="W46" s="11">
        <f>S40*B12^2+W15</f>
        <v>157.16918630362275</v>
      </c>
      <c r="X46" s="6"/>
      <c r="Y46" s="13" t="str">
        <f>_xlfn.IFS(Y45&gt;Y44,"Exercise Early",Y45&lt;Y44,"Do Not Exercise",Y44=Y45,"Does Not Matter")</f>
        <v>Do Not Exercise</v>
      </c>
      <c r="Z46" s="6"/>
      <c r="AA46" s="11">
        <f>S40*B12^3*B11+AA15</f>
        <v>157.35215257359266</v>
      </c>
      <c r="AB46" s="6"/>
      <c r="AC46" s="13" t="s">
        <v>9</v>
      </c>
      <c r="AD46" s="7"/>
      <c r="AF46" s="8"/>
      <c r="AG46" s="9"/>
      <c r="AH46" s="9"/>
      <c r="AI46" s="9"/>
      <c r="AJ46" s="9"/>
      <c r="AK46" s="9"/>
      <c r="AL46" s="9"/>
      <c r="AM46" s="9"/>
      <c r="AN46" s="9"/>
      <c r="AO46" s="9"/>
      <c r="AP46" s="10"/>
    </row>
    <row r="47" spans="4:42" x14ac:dyDescent="0.35">
      <c r="D47" s="5"/>
      <c r="E47" s="6"/>
      <c r="F47" s="6"/>
      <c r="G47" s="6"/>
      <c r="H47" s="6"/>
      <c r="I47" s="12">
        <f>EXP(-$B$7*$B$9)*($B$13*MAX(K44,K45)+(1-$B$13)*MAX(K50,K51))</f>
        <v>22.935338910341596</v>
      </c>
      <c r="J47" s="6"/>
      <c r="K47" s="6"/>
      <c r="L47" s="6"/>
      <c r="M47" s="12">
        <f>EXP(-$B$7*$B$9)*($B$13*MAX(O44,O45)+(1-$B$13)*MAX(O50,O51))</f>
        <v>20.983040640769417</v>
      </c>
      <c r="N47" s="6"/>
      <c r="O47" s="6"/>
      <c r="P47" s="7"/>
      <c r="R47" s="5"/>
      <c r="S47" s="6"/>
      <c r="T47" s="6"/>
      <c r="U47" s="6"/>
      <c r="V47" s="6"/>
      <c r="W47" s="12">
        <f>EXP(-$B$7*$B$9)*($B$13*MAX(Y44,Y45)+(1-$B$13)*MAX(Y50,Y51))</f>
        <v>24.049585793813133</v>
      </c>
      <c r="X47" s="6"/>
      <c r="Y47" s="6"/>
      <c r="Z47" s="6"/>
      <c r="AA47" s="12">
        <f>EXP(-$B$7*$B$9)*($B$13*MAX(AC44,AC45)+(1-$B$13)*MAX(AC50,AC51))</f>
        <v>22.280444894414256</v>
      </c>
      <c r="AB47" s="6"/>
      <c r="AC47" s="6"/>
      <c r="AD47" s="7"/>
    </row>
    <row r="48" spans="4:42" ht="15" thickBot="1" x14ac:dyDescent="0.4">
      <c r="D48" s="5"/>
      <c r="E48" s="6"/>
      <c r="F48" s="6"/>
      <c r="G48" s="6"/>
      <c r="H48" s="6"/>
      <c r="I48" s="12">
        <f>MAX($B$4*(I46-$B$6),0)</f>
        <v>21.914748724669209</v>
      </c>
      <c r="J48" s="6"/>
      <c r="K48" s="6"/>
      <c r="L48" s="6"/>
      <c r="M48" s="12">
        <f>MAX($B$4*(M46-$B$6),0)</f>
        <v>21.320443172762538</v>
      </c>
      <c r="N48" s="6"/>
      <c r="O48" s="6"/>
      <c r="P48" s="7"/>
      <c r="R48" s="5"/>
      <c r="S48" s="6"/>
      <c r="T48" s="6"/>
      <c r="U48" s="6"/>
      <c r="V48" s="6"/>
      <c r="W48" s="12">
        <f>MAX($B$4*(W46-$B$6),0)</f>
        <v>22.800813696377247</v>
      </c>
      <c r="X48" s="6"/>
      <c r="Y48" s="6"/>
      <c r="Z48" s="6"/>
      <c r="AA48" s="12">
        <f>MAX($B$4*(AA46-$B$6),0)</f>
        <v>22.617847426407337</v>
      </c>
      <c r="AB48" s="6"/>
      <c r="AC48" s="6"/>
      <c r="AD48" s="7"/>
    </row>
    <row r="49" spans="4:32" ht="15" thickBot="1" x14ac:dyDescent="0.4">
      <c r="D49" s="5"/>
      <c r="E49" s="6"/>
      <c r="F49" s="6"/>
      <c r="G49" s="6"/>
      <c r="H49" s="6"/>
      <c r="I49" s="13" t="str">
        <f>_xlfn.IFS(I48&gt;I47,"Exercise Early",I48&lt;I47,"Do Not Exercise",I47=I48,"Does Not Matter")</f>
        <v>Do Not Exercise</v>
      </c>
      <c r="J49" s="6"/>
      <c r="K49" s="11">
        <f>I46*$B$12</f>
        <v>148.11987469952604</v>
      </c>
      <c r="L49" s="6"/>
      <c r="M49" s="13" t="str">
        <f>_xlfn.IFS(M48&gt;M47,"Exercise Early",M48&lt;M47,"Do Not Exercise",M47=M48,"Does Not Matter")</f>
        <v>Exercise Early</v>
      </c>
      <c r="N49" s="6"/>
      <c r="O49" s="11">
        <f>M52*$B$11</f>
        <v>148.67682211615005</v>
      </c>
      <c r="P49" s="7"/>
      <c r="R49" s="5"/>
      <c r="S49" s="6"/>
      <c r="T49" s="6"/>
      <c r="U49" s="6"/>
      <c r="V49" s="6"/>
      <c r="W49" s="13" t="str">
        <f>_xlfn.IFS(W48&gt;W47,"Exercise Early",W48&lt;W47,"Do Not Exercise",W47=W48,"Does Not Matter")</f>
        <v>Do Not Exercise</v>
      </c>
      <c r="X49" s="6"/>
      <c r="Y49" s="11">
        <f>S40*B12^3+Y15</f>
        <v>146.90858007426738</v>
      </c>
      <c r="Z49" s="6"/>
      <c r="AA49" s="117" t="str">
        <f>_xlfn.IFS(AA48&gt;AA47,"Exercise Early",AA48&lt;AA47,"Do Not Exercise",AA47=AA48,"Does Not Matter")</f>
        <v>Exercise Early</v>
      </c>
      <c r="AB49" s="6"/>
      <c r="AC49" s="11">
        <f>S40*B12^4*B11</f>
        <v>147.46097288663125</v>
      </c>
      <c r="AD49" s="7"/>
    </row>
    <row r="50" spans="4:32" x14ac:dyDescent="0.35">
      <c r="D50" s="5"/>
      <c r="E50" s="6"/>
      <c r="F50" s="6"/>
      <c r="G50" s="6"/>
      <c r="H50" s="6"/>
      <c r="I50" s="6"/>
      <c r="J50" s="6"/>
      <c r="K50" s="12">
        <f>EXP(-$B$7*$B$9)*($B$13*MAX(M47,M48)+(1-$B$13)*MAX(M53,M54))</f>
        <v>31.512722768480849</v>
      </c>
      <c r="L50" s="6"/>
      <c r="M50" s="6"/>
      <c r="N50" s="6"/>
      <c r="O50" s="12">
        <f>O51</f>
        <v>31.29317788384995</v>
      </c>
      <c r="P50" s="7"/>
      <c r="R50" s="5"/>
      <c r="S50" s="6"/>
      <c r="T50" s="6"/>
      <c r="U50" s="6"/>
      <c r="V50" s="6"/>
      <c r="W50" s="6"/>
      <c r="X50" s="6"/>
      <c r="Y50" s="12">
        <f>EXP(-$B$7*$B$9)*($B$13*MAX(AA47,AA48)+(1-$B$13)*MAX(AA53,AA54))</f>
        <v>32.724017393739523</v>
      </c>
      <c r="Z50" s="6"/>
      <c r="AA50" s="6"/>
      <c r="AB50" s="6"/>
      <c r="AC50" s="12">
        <f>AC51</f>
        <v>32.509027113368745</v>
      </c>
      <c r="AD50" s="7"/>
      <c r="AE50" s="6"/>
    </row>
    <row r="51" spans="4:32" ht="15" thickBot="1" x14ac:dyDescent="0.4">
      <c r="D51" s="5"/>
      <c r="E51" s="6"/>
      <c r="F51" s="6"/>
      <c r="G51" s="6"/>
      <c r="H51" s="6"/>
      <c r="I51" s="6"/>
      <c r="J51" s="6"/>
      <c r="K51" s="12">
        <f>MAX($B$4*(K49-$B$6),0)</f>
        <v>31.850125300473962</v>
      </c>
      <c r="L51" s="6"/>
      <c r="M51" s="6"/>
      <c r="N51" s="6"/>
      <c r="O51" s="12">
        <f>MAX($B$4*(O49-$B$6),0)</f>
        <v>31.29317788384995</v>
      </c>
      <c r="P51" s="7"/>
      <c r="R51" s="5"/>
      <c r="S51" s="6"/>
      <c r="T51" s="6"/>
      <c r="U51" s="6"/>
      <c r="V51" s="6"/>
      <c r="W51" s="6"/>
      <c r="X51" s="6"/>
      <c r="Y51" s="12">
        <f>MAX($B$4*(Y49-$B$6),0)</f>
        <v>33.061419925732622</v>
      </c>
      <c r="Z51" s="6"/>
      <c r="AA51" s="6"/>
      <c r="AB51" s="6"/>
      <c r="AC51" s="12">
        <f>MAX($B$4*(AC49-$B$6),0)</f>
        <v>32.509027113368745</v>
      </c>
      <c r="AD51" s="7"/>
      <c r="AE51" s="6"/>
      <c r="AF51" s="6"/>
    </row>
    <row r="52" spans="4:32" ht="15" thickBot="1" x14ac:dyDescent="0.4">
      <c r="D52" s="5"/>
      <c r="E52" s="6"/>
      <c r="F52" s="6"/>
      <c r="G52" s="6"/>
      <c r="H52" s="6"/>
      <c r="I52" s="6"/>
      <c r="J52" s="6"/>
      <c r="K52" s="13" t="str">
        <f>_xlfn.IFS(K51&gt;K50,"Exercise Early",K51&lt;K50,"Do Not Exercise",K50=K51,"Does Not Matter")</f>
        <v>Exercise Early</v>
      </c>
      <c r="L52" s="6"/>
      <c r="M52" s="11">
        <f>K49*$B$12</f>
        <v>138.80903737127275</v>
      </c>
      <c r="N52" s="6"/>
      <c r="O52" s="13" t="s">
        <v>9</v>
      </c>
      <c r="P52" s="7"/>
      <c r="R52" s="5"/>
      <c r="S52" s="6"/>
      <c r="T52" s="6"/>
      <c r="U52" s="6"/>
      <c r="V52" s="6"/>
      <c r="W52" s="6"/>
      <c r="X52" s="6"/>
      <c r="Y52" s="117" t="str">
        <f>_xlfn.IFS(Y51&gt;Y50,"Exercise Early",Y51&lt;Y50,"Do Not Exercise",Y50=Y51,"Does Not Matter")</f>
        <v>Exercise Early</v>
      </c>
      <c r="Z52" s="6"/>
      <c r="AA52" s="11">
        <f>S40*B12^4+AA15</f>
        <v>137.67388490610736</v>
      </c>
      <c r="AB52" s="6"/>
      <c r="AC52" s="13" t="s">
        <v>9</v>
      </c>
      <c r="AD52" s="7"/>
      <c r="AE52" s="6"/>
      <c r="AF52" s="6"/>
    </row>
    <row r="53" spans="4:32" x14ac:dyDescent="0.35">
      <c r="D53" s="5"/>
      <c r="E53" s="6"/>
      <c r="F53" s="6"/>
      <c r="G53" s="6"/>
      <c r="H53" s="6"/>
      <c r="I53" s="6"/>
      <c r="J53" s="6"/>
      <c r="K53" s="6"/>
      <c r="L53" s="6"/>
      <c r="M53" s="12">
        <f>EXP(-$B$7*$B$9)*($B$13*MAX(O50,O51)+(1-$B$13)*MAX(O56,O57))</f>
        <v>40.823560096734141</v>
      </c>
      <c r="N53" s="6"/>
      <c r="O53" s="6"/>
      <c r="P53" s="7"/>
      <c r="R53" s="5"/>
      <c r="S53" s="6"/>
      <c r="T53" s="6"/>
      <c r="U53" s="6"/>
      <c r="V53" s="6"/>
      <c r="W53" s="6"/>
      <c r="X53" s="6"/>
      <c r="Y53" s="6"/>
      <c r="Z53" s="6"/>
      <c r="AA53" s="12">
        <f>EXP(-$B$7*$B$9)*($B$13*MAX(AC50,AC51)+(1-$B$13)*MAX(AC56,AC57))</f>
        <v>41.958712561899539</v>
      </c>
      <c r="AB53" s="6"/>
      <c r="AC53" s="6"/>
      <c r="AD53" s="7"/>
    </row>
    <row r="54" spans="4:32" ht="15" thickBot="1" x14ac:dyDescent="0.4">
      <c r="D54" s="5"/>
      <c r="E54" s="6"/>
      <c r="F54" s="6"/>
      <c r="G54" s="6"/>
      <c r="H54" s="6"/>
      <c r="I54" s="6"/>
      <c r="J54" s="6"/>
      <c r="K54" s="6"/>
      <c r="L54" s="6"/>
      <c r="M54" s="12">
        <f>MAX($B$4*(M52-$B$6),0)</f>
        <v>41.160962628727248</v>
      </c>
      <c r="N54" s="6"/>
      <c r="O54" s="6"/>
      <c r="P54" s="7"/>
      <c r="R54" s="5"/>
      <c r="S54" s="6"/>
      <c r="T54" s="6"/>
      <c r="U54" s="6"/>
      <c r="V54" s="6"/>
      <c r="W54" s="6"/>
      <c r="X54" s="6"/>
      <c r="Y54" s="6"/>
      <c r="Z54" s="6"/>
      <c r="AA54" s="12">
        <f>MAX($B$4*(AA52-$B$6),0)</f>
        <v>42.296115093892638</v>
      </c>
      <c r="AB54" s="6"/>
      <c r="AC54" s="6"/>
      <c r="AD54" s="7"/>
    </row>
    <row r="55" spans="4:32" ht="15" thickBot="1" x14ac:dyDescent="0.4">
      <c r="D55" s="5"/>
      <c r="E55" s="6"/>
      <c r="F55" s="6"/>
      <c r="G55" s="6"/>
      <c r="H55" s="6"/>
      <c r="I55" s="6"/>
      <c r="J55" s="6"/>
      <c r="K55" s="6"/>
      <c r="L55" s="6"/>
      <c r="M55" s="13" t="str">
        <f>_xlfn.IFS(M54&gt;M53,"Exercise Early",M54&lt;M53,"Do Not Exercise",M53=M54,"Does Not Matter")</f>
        <v>Exercise Early</v>
      </c>
      <c r="N55" s="6"/>
      <c r="O55" s="11">
        <f>M52*$B$12</f>
        <v>130.08348066068845</v>
      </c>
      <c r="P55" s="7"/>
      <c r="R55" s="5"/>
      <c r="S55" s="6"/>
      <c r="T55" s="6"/>
      <c r="U55" s="6"/>
      <c r="V55" s="6"/>
      <c r="W55" s="6"/>
      <c r="X55" s="6"/>
      <c r="Y55" s="6"/>
      <c r="Z55" s="6"/>
      <c r="AA55" s="117" t="str">
        <f>_xlfn.IFS(AA54&gt;AA53,"Exercise Early",AA54&lt;AA53,"Do Not Exercise",AA53=AA54,"Does Not Matter")</f>
        <v>Exercise Early</v>
      </c>
      <c r="AB55" s="6"/>
      <c r="AC55" s="11">
        <f>S40*B12^5</f>
        <v>129.01968404812126</v>
      </c>
      <c r="AD55" s="7"/>
    </row>
    <row r="56" spans="4:32" x14ac:dyDescent="0.35">
      <c r="D56" s="5"/>
      <c r="E56" s="6"/>
      <c r="F56" s="6"/>
      <c r="G56" s="6"/>
      <c r="H56" s="6"/>
      <c r="I56" s="6"/>
      <c r="J56" s="6"/>
      <c r="K56" s="6"/>
      <c r="L56" s="6"/>
      <c r="M56" s="6"/>
      <c r="N56" s="6"/>
      <c r="O56" s="12">
        <f>O57</f>
        <v>49.886519339311548</v>
      </c>
      <c r="P56" s="7"/>
      <c r="R56" s="5"/>
      <c r="S56" s="6"/>
      <c r="T56" s="6"/>
      <c r="U56" s="6"/>
      <c r="V56" s="6"/>
      <c r="W56" s="6"/>
      <c r="X56" s="6"/>
      <c r="Y56" s="6"/>
      <c r="Z56" s="6"/>
      <c r="AA56" s="6"/>
      <c r="AB56" s="6"/>
      <c r="AC56" s="12">
        <f>AC57</f>
        <v>50.950315951878736</v>
      </c>
      <c r="AD56" s="7"/>
    </row>
    <row r="57" spans="4:32" x14ac:dyDescent="0.35">
      <c r="D57" s="5"/>
      <c r="E57" s="6"/>
      <c r="F57" s="6"/>
      <c r="G57" s="6"/>
      <c r="H57" s="6"/>
      <c r="I57" s="6"/>
      <c r="J57" s="6"/>
      <c r="K57" s="6"/>
      <c r="L57" s="6"/>
      <c r="M57" s="6"/>
      <c r="N57" s="6"/>
      <c r="O57" s="12">
        <f>MAX($B$4*(O55-$B$6),0)</f>
        <v>49.886519339311548</v>
      </c>
      <c r="P57" s="7"/>
      <c r="R57" s="5"/>
      <c r="S57" s="6"/>
      <c r="T57" s="6"/>
      <c r="U57" s="6"/>
      <c r="V57" s="6"/>
      <c r="W57" s="6"/>
      <c r="X57" s="6"/>
      <c r="Y57" s="6"/>
      <c r="Z57" s="6"/>
      <c r="AA57" s="6"/>
      <c r="AB57" s="6"/>
      <c r="AC57" s="12">
        <f>MAX($B$4*(AC55-$B$6),0)</f>
        <v>50.950315951878736</v>
      </c>
      <c r="AD57" s="7"/>
    </row>
    <row r="58" spans="4:32" ht="15" thickBot="1" x14ac:dyDescent="0.4">
      <c r="D58" s="5"/>
      <c r="E58" s="6"/>
      <c r="F58" s="6"/>
      <c r="G58" s="6"/>
      <c r="H58" s="6"/>
      <c r="I58" s="6"/>
      <c r="J58" s="6"/>
      <c r="K58" s="6"/>
      <c r="L58" s="6"/>
      <c r="M58" s="6"/>
      <c r="N58" s="6"/>
      <c r="O58" s="13" t="s">
        <v>9</v>
      </c>
      <c r="P58" s="7"/>
      <c r="R58" s="5"/>
      <c r="S58" s="6"/>
      <c r="T58" s="6"/>
      <c r="U58" s="6"/>
      <c r="V58" s="6"/>
      <c r="W58" s="6"/>
      <c r="X58" s="6"/>
      <c r="Y58" s="6"/>
      <c r="Z58" s="6"/>
      <c r="AA58" s="6"/>
      <c r="AB58" s="6"/>
      <c r="AC58" s="13" t="s">
        <v>9</v>
      </c>
      <c r="AD58" s="7"/>
    </row>
    <row r="59" spans="4:32" x14ac:dyDescent="0.35">
      <c r="D59" s="8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10"/>
      <c r="R59" s="8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</sheetData>
  <mergeCells count="3">
    <mergeCell ref="D24:F24"/>
    <mergeCell ref="R24:T24"/>
    <mergeCell ref="AF24:AG24"/>
  </mergeCells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B252-5877-0848-AE4B-8E32A3A9796F}">
  <sheetPr codeName="Sheet15"/>
  <dimension ref="A1:AB78"/>
  <sheetViews>
    <sheetView topLeftCell="A13" zoomScale="54" zoomScaleNormal="100" workbookViewId="0">
      <selection activeCell="T44" sqref="T44"/>
    </sheetView>
  </sheetViews>
  <sheetFormatPr defaultColWidth="8.81640625" defaultRowHeight="14.5" x14ac:dyDescent="0.35"/>
  <cols>
    <col min="1" max="1" width="16.81640625" style="38" customWidth="1"/>
    <col min="2" max="3" width="6.6328125" style="38" bestFit="1" customWidth="1"/>
    <col min="4" max="4" width="12.6328125" style="38" bestFit="1" customWidth="1"/>
    <col min="5" max="5" width="7.36328125" style="38" bestFit="1" customWidth="1"/>
    <col min="6" max="6" width="8.1796875" style="38" bestFit="1" customWidth="1"/>
    <col min="7" max="8" width="8.6328125" style="38" bestFit="1" customWidth="1"/>
    <col min="9" max="9" width="9" style="38" bestFit="1" customWidth="1"/>
    <col min="10" max="10" width="10.1796875" style="38" customWidth="1"/>
    <col min="11" max="11" width="6.6328125" style="38" bestFit="1" customWidth="1"/>
    <col min="12" max="12" width="8.6328125" style="38" customWidth="1"/>
    <col min="13" max="13" width="7.6328125" style="38" bestFit="1" customWidth="1"/>
    <col min="14" max="14" width="8.81640625" style="38"/>
    <col min="15" max="15" width="13.1796875" style="38" bestFit="1" customWidth="1"/>
    <col min="16" max="16384" width="8.81640625" style="38"/>
  </cols>
  <sheetData>
    <row r="1" spans="1:28" x14ac:dyDescent="0.35">
      <c r="A1" s="98" t="s">
        <v>943</v>
      </c>
      <c r="B1" s="63">
        <v>0</v>
      </c>
      <c r="C1" s="64"/>
      <c r="D1" s="64">
        <v>1</v>
      </c>
      <c r="E1" s="64"/>
      <c r="F1" s="64">
        <v>2</v>
      </c>
      <c r="G1" s="64"/>
      <c r="H1" s="64">
        <v>3</v>
      </c>
      <c r="I1" s="64"/>
      <c r="J1" s="64">
        <v>4</v>
      </c>
      <c r="K1" s="64"/>
      <c r="L1" s="65">
        <v>5</v>
      </c>
      <c r="M1" s="62"/>
      <c r="O1" s="51" t="s">
        <v>944</v>
      </c>
      <c r="P1" s="81">
        <v>0</v>
      </c>
      <c r="R1" s="81">
        <v>1</v>
      </c>
      <c r="T1" s="81">
        <v>2</v>
      </c>
      <c r="V1" s="81">
        <v>3</v>
      </c>
      <c r="X1" s="81">
        <v>4</v>
      </c>
      <c r="Z1" s="81">
        <v>5</v>
      </c>
      <c r="AA1" s="82">
        <v>6</v>
      </c>
      <c r="AB1" s="82">
        <v>7</v>
      </c>
    </row>
    <row r="2" spans="1:28" x14ac:dyDescent="0.35">
      <c r="A2" s="78">
        <f>1/12</f>
        <v>8.3333333333333329E-2</v>
      </c>
      <c r="B2" s="66" t="s">
        <v>62</v>
      </c>
      <c r="C2" s="62"/>
      <c r="D2" s="62" t="s">
        <v>60</v>
      </c>
      <c r="E2" s="62"/>
      <c r="F2" s="62" t="s">
        <v>23</v>
      </c>
      <c r="G2" s="62"/>
      <c r="H2" s="62" t="s">
        <v>25</v>
      </c>
      <c r="I2" s="62"/>
      <c r="J2" s="62" t="s">
        <v>61</v>
      </c>
      <c r="K2" s="62"/>
      <c r="L2" s="67" t="s">
        <v>24</v>
      </c>
      <c r="M2" s="79"/>
      <c r="P2" s="79" t="s">
        <v>62</v>
      </c>
      <c r="R2" s="79" t="s">
        <v>60</v>
      </c>
      <c r="T2" s="79" t="s">
        <v>23</v>
      </c>
      <c r="V2" s="79" t="s">
        <v>25</v>
      </c>
      <c r="X2" s="79" t="s">
        <v>61</v>
      </c>
      <c r="Z2" s="79" t="s">
        <v>24</v>
      </c>
      <c r="AA2" s="38" t="s">
        <v>946</v>
      </c>
      <c r="AB2" s="38" t="s">
        <v>947</v>
      </c>
    </row>
    <row r="3" spans="1:28" x14ac:dyDescent="0.35">
      <c r="A3" s="68" t="s">
        <v>66</v>
      </c>
      <c r="B3" s="62"/>
      <c r="C3" s="64"/>
      <c r="D3" s="64" t="s">
        <v>53</v>
      </c>
      <c r="E3" s="64"/>
      <c r="F3" s="64" t="s">
        <v>54</v>
      </c>
      <c r="G3" s="64"/>
      <c r="H3" s="64" t="s">
        <v>55</v>
      </c>
      <c r="I3" s="64"/>
      <c r="J3" s="64" t="s">
        <v>56</v>
      </c>
      <c r="K3" s="64"/>
      <c r="L3" s="65" t="s">
        <v>57</v>
      </c>
      <c r="M3" s="79"/>
      <c r="O3" s="38" t="s">
        <v>945</v>
      </c>
      <c r="P3" s="82">
        <v>6</v>
      </c>
      <c r="R3" s="82">
        <f>$P$3+R1</f>
        <v>7</v>
      </c>
      <c r="T3" s="82">
        <f>$P$3+T1</f>
        <v>8</v>
      </c>
      <c r="V3" s="82">
        <f>$P$3+V1</f>
        <v>9</v>
      </c>
      <c r="X3" s="82">
        <f>$P$3+X1</f>
        <v>10</v>
      </c>
      <c r="Z3" s="82">
        <f>$P$3+Z1</f>
        <v>11</v>
      </c>
      <c r="AA3" s="82">
        <f>$P$3+AA1</f>
        <v>12</v>
      </c>
      <c r="AB3" s="82">
        <f>$P$3+AB1</f>
        <v>13</v>
      </c>
    </row>
    <row r="4" spans="1:28" x14ac:dyDescent="0.25">
      <c r="A4" s="69" t="s">
        <v>58</v>
      </c>
      <c r="B4" s="62"/>
      <c r="C4" s="62"/>
      <c r="D4" s="70">
        <f>'Forward Rates'!C3</f>
        <v>2.1930299999999998</v>
      </c>
      <c r="E4" s="62"/>
      <c r="F4" s="70">
        <f>'Forward Rates'!C4</f>
        <v>2.15991</v>
      </c>
      <c r="G4" s="62"/>
      <c r="H4" s="70">
        <f>'Forward Rates'!C5</f>
        <v>2.17171</v>
      </c>
      <c r="I4" s="62"/>
      <c r="J4" s="62">
        <f>'Forward Rates'!C6</f>
        <v>2.2117733333333334</v>
      </c>
      <c r="K4" s="62"/>
      <c r="L4" s="67">
        <f>'Forward Rates'!C7</f>
        <v>2.2518366666666667</v>
      </c>
      <c r="M4" s="80"/>
    </row>
    <row r="5" spans="1:28" x14ac:dyDescent="0.35">
      <c r="A5" s="71" t="s">
        <v>59</v>
      </c>
      <c r="B5" s="72"/>
      <c r="C5" s="72"/>
      <c r="D5" s="72">
        <f>D4/100</f>
        <v>2.19303E-2</v>
      </c>
      <c r="E5" s="72"/>
      <c r="F5" s="89">
        <f>F4/100</f>
        <v>2.15991E-2</v>
      </c>
      <c r="G5" s="72"/>
      <c r="H5" s="72">
        <f>H4/100</f>
        <v>2.17171E-2</v>
      </c>
      <c r="I5" s="72"/>
      <c r="J5" s="89">
        <f>J4/100</f>
        <v>2.2117733333333334E-2</v>
      </c>
      <c r="K5" s="72"/>
      <c r="L5" s="73">
        <f>L4/100</f>
        <v>2.2518366666666668E-2</v>
      </c>
      <c r="M5" s="79"/>
    </row>
    <row r="6" spans="1:28" x14ac:dyDescent="0.35">
      <c r="A6" s="74" t="s">
        <v>65</v>
      </c>
      <c r="B6" s="62" t="s">
        <v>67</v>
      </c>
      <c r="C6" s="62"/>
      <c r="D6" s="62">
        <v>0</v>
      </c>
      <c r="E6" s="62"/>
      <c r="F6" s="62">
        <v>0.74</v>
      </c>
      <c r="G6" s="62"/>
      <c r="H6" s="62">
        <v>0</v>
      </c>
      <c r="I6" s="62"/>
      <c r="J6" s="62">
        <v>0</v>
      </c>
      <c r="K6" s="62"/>
      <c r="L6" s="67">
        <v>0.74</v>
      </c>
      <c r="M6" s="79"/>
    </row>
    <row r="7" spans="1:28" x14ac:dyDescent="0.35">
      <c r="A7" s="75" t="s">
        <v>942</v>
      </c>
      <c r="B7" s="62" t="s">
        <v>67</v>
      </c>
      <c r="C7" s="62"/>
      <c r="D7" s="62">
        <v>0</v>
      </c>
      <c r="E7" s="62"/>
      <c r="F7" s="62">
        <f>F6*EXP(-F5*A2*2)</f>
        <v>0.73734090005206177</v>
      </c>
      <c r="G7" s="62"/>
      <c r="H7" s="62">
        <v>0</v>
      </c>
      <c r="I7" s="62"/>
      <c r="J7" s="62">
        <v>0</v>
      </c>
      <c r="K7" s="62"/>
      <c r="L7" s="67">
        <f>L6*EXP(-L5*A2*5)</f>
        <v>0.73308930795441729</v>
      </c>
      <c r="M7" s="79"/>
    </row>
    <row r="8" spans="1:28" x14ac:dyDescent="0.35">
      <c r="A8" s="76"/>
      <c r="B8" s="62" t="s">
        <v>67</v>
      </c>
      <c r="C8" s="62"/>
      <c r="D8" s="62" t="s">
        <v>67</v>
      </c>
      <c r="E8" s="62"/>
      <c r="F8" s="62">
        <f>F6*EXP(-'Forward Rates'!D3*A2)</f>
        <v>0.62013788772277278</v>
      </c>
      <c r="G8" s="62"/>
      <c r="H8" s="62">
        <v>0</v>
      </c>
      <c r="I8" s="62"/>
      <c r="J8" s="62">
        <v>0</v>
      </c>
      <c r="K8" s="62"/>
      <c r="L8" s="67">
        <f>L6*EXP(-'Forward Rates'!D6*A2*4)</f>
        <v>0.3476030950157068</v>
      </c>
      <c r="M8" s="79"/>
    </row>
    <row r="9" spans="1:28" x14ac:dyDescent="0.35">
      <c r="A9" s="76"/>
      <c r="B9" s="62" t="s">
        <v>67</v>
      </c>
      <c r="C9" s="62"/>
      <c r="D9" s="62" t="s">
        <v>67</v>
      </c>
      <c r="E9" s="62"/>
      <c r="F9" s="62" t="s">
        <v>67</v>
      </c>
      <c r="G9" s="62"/>
      <c r="H9" s="62">
        <v>0</v>
      </c>
      <c r="I9" s="62"/>
      <c r="J9" s="62">
        <v>0</v>
      </c>
      <c r="K9" s="62"/>
      <c r="L9" s="67">
        <f>L6*EXP(-'Forward Rates'!E5*A2*3)</f>
        <v>0.40647917033969683</v>
      </c>
      <c r="M9" s="79"/>
    </row>
    <row r="10" spans="1:28" x14ac:dyDescent="0.35">
      <c r="A10" s="76"/>
      <c r="B10" s="62" t="s">
        <v>67</v>
      </c>
      <c r="C10" s="62"/>
      <c r="D10" s="62" t="s">
        <v>67</v>
      </c>
      <c r="E10" s="62"/>
      <c r="F10" s="62" t="s">
        <v>67</v>
      </c>
      <c r="G10" s="62"/>
      <c r="H10" s="62" t="s">
        <v>67</v>
      </c>
      <c r="I10" s="62"/>
      <c r="J10" s="62">
        <v>0</v>
      </c>
      <c r="K10" s="62"/>
      <c r="L10" s="67">
        <f>L6*EXP(-'Forward Rates'!F4*A2*2)</f>
        <v>0.50499415394654701</v>
      </c>
      <c r="M10" s="79"/>
    </row>
    <row r="11" spans="1:28" x14ac:dyDescent="0.35">
      <c r="A11" s="76"/>
      <c r="B11" s="62" t="s">
        <v>67</v>
      </c>
      <c r="C11" s="62"/>
      <c r="D11" s="62" t="s">
        <v>67</v>
      </c>
      <c r="E11" s="62"/>
      <c r="F11" s="62" t="s">
        <v>67</v>
      </c>
      <c r="G11" s="62"/>
      <c r="H11" s="62" t="s">
        <v>67</v>
      </c>
      <c r="I11" s="62"/>
      <c r="J11" s="62" t="s">
        <v>67</v>
      </c>
      <c r="K11" s="62"/>
      <c r="L11" s="67">
        <f>L6*EXP(-'Forward Rates'!G3*A2)</f>
        <v>0.60732112426224627</v>
      </c>
      <c r="M11" s="62"/>
    </row>
    <row r="12" spans="1:28" x14ac:dyDescent="0.35">
      <c r="A12" s="77" t="s">
        <v>68</v>
      </c>
      <c r="B12" s="87">
        <f>SUM(D7:L7)</f>
        <v>1.4704302080064791</v>
      </c>
      <c r="C12" s="79"/>
      <c r="D12" s="79">
        <f>IF(D6&lt;&gt;0,SUM(F8:L8),0)</f>
        <v>0</v>
      </c>
      <c r="E12" s="79"/>
      <c r="F12" s="79">
        <f>IF(F6&lt;&gt;0,SUM(H9:L9),0)</f>
        <v>0.40647917033969683</v>
      </c>
      <c r="G12" s="79"/>
      <c r="H12" s="79">
        <f>IF(H6&lt;&gt;0,SUM(J10:L10),0)</f>
        <v>0</v>
      </c>
      <c r="I12" s="79"/>
      <c r="J12" s="79">
        <f>IF(J6&lt;&gt;0,SUM(L11),0)</f>
        <v>0</v>
      </c>
      <c r="K12" s="79"/>
      <c r="L12" s="67" t="s">
        <v>67</v>
      </c>
      <c r="M12" s="62"/>
    </row>
    <row r="13" spans="1:28" x14ac:dyDescent="0.35">
      <c r="A13" s="86" t="s">
        <v>1</v>
      </c>
      <c r="B13" s="88"/>
      <c r="C13" s="88"/>
      <c r="D13" s="88">
        <f>(B33+B31)/(EXP(-'Forward Rates'!C3/100*A2)*B31-B33)</f>
        <v>1.0567447187102814</v>
      </c>
      <c r="E13" s="88"/>
      <c r="F13" s="88"/>
      <c r="G13" s="88"/>
      <c r="H13" s="88">
        <f>(F33+F31)/(EXP(-'Forward Rates'!C4/100*2*A2)*F31-F33)</f>
        <v>1.0585427149379858</v>
      </c>
      <c r="I13" s="88"/>
      <c r="J13" s="88"/>
      <c r="K13" s="88"/>
      <c r="L13" s="88">
        <f>(J33+J31)/(EXP(-'Forward Rates'!C7/100*5*A2)*J31-J33)</f>
        <v>1.064980356557016</v>
      </c>
    </row>
    <row r="14" spans="1:28" ht="17" customHeight="1" x14ac:dyDescent="0.35"/>
    <row r="15" spans="1:28" ht="17" customHeight="1" thickBot="1" x14ac:dyDescent="0.4">
      <c r="A15" s="110" t="s">
        <v>969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4"/>
      <c r="O15" s="111" t="s">
        <v>968</v>
      </c>
      <c r="P15" s="112"/>
      <c r="Q15" s="3"/>
      <c r="R15" s="3"/>
      <c r="S15" s="3"/>
      <c r="T15" s="3"/>
      <c r="U15" s="3"/>
      <c r="V15" s="3"/>
      <c r="W15" s="3"/>
      <c r="X15" s="3"/>
      <c r="Y15" s="4"/>
    </row>
    <row r="16" spans="1:28" ht="15" thickBot="1" x14ac:dyDescent="0.4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11">
        <f>(J21*L22+J19*(EXP(-5*A2*'Forward Rates'!C7/100)*L22-J19))/(J21+EXP(-5*A2*'Forward Rates'!C7/100)*L22-J19)</f>
        <v>252.22050756693162</v>
      </c>
      <c r="M16" s="7"/>
      <c r="O16" s="5"/>
      <c r="P16" s="6"/>
      <c r="Q16" s="6"/>
      <c r="R16" s="6"/>
      <c r="S16" s="6"/>
      <c r="T16" s="6"/>
      <c r="U16" s="6"/>
      <c r="V16" s="6"/>
      <c r="W16" s="6"/>
      <c r="X16" s="6"/>
      <c r="Y16" s="7"/>
    </row>
    <row r="17" spans="1:25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12">
        <f>EXP(-'Forward Rates'!C7/100*5*A2)*J22*J20</f>
        <v>2.2232715618748684E-2</v>
      </c>
      <c r="M17" s="7"/>
      <c r="O17" s="95"/>
      <c r="P17" s="96"/>
      <c r="Q17" s="96"/>
      <c r="R17" s="96"/>
      <c r="S17" s="96"/>
      <c r="T17" s="96"/>
      <c r="U17" s="96"/>
      <c r="V17" s="96"/>
      <c r="W17" s="96"/>
      <c r="X17" s="41">
        <f>(L18-L24)/(L16-L22)</f>
        <v>0.14796082105533784</v>
      </c>
      <c r="Y17" s="97"/>
    </row>
    <row r="18" spans="1:25" ht="15" thickBot="1" x14ac:dyDescent="0.4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12">
        <f>L57/L17</f>
        <v>13.217271513047827</v>
      </c>
      <c r="M18" s="7"/>
      <c r="O18" s="95"/>
      <c r="P18" s="96"/>
      <c r="Q18" s="96"/>
      <c r="R18" s="96"/>
      <c r="S18" s="96"/>
      <c r="T18" s="96"/>
      <c r="U18" s="96"/>
      <c r="V18" s="96"/>
      <c r="W18" s="96"/>
      <c r="X18" s="57" t="s">
        <v>9</v>
      </c>
      <c r="Y18" s="97"/>
    </row>
    <row r="19" spans="1:25" ht="15" thickBot="1" x14ac:dyDescent="0.4">
      <c r="A19" s="5"/>
      <c r="B19" s="6"/>
      <c r="C19" s="6"/>
      <c r="D19" s="6"/>
      <c r="E19" s="6"/>
      <c r="F19" s="6"/>
      <c r="G19" s="6"/>
      <c r="H19" s="6"/>
      <c r="I19" s="6"/>
      <c r="J19" s="11">
        <f>(H24*J25+H22*(EXP(-4*A2*'Forward Rates'!C6/100)*J25-H22))/(H24+EXP(-4*A2*'Forward Rates'!C6/100)*J25-H22)</f>
        <v>237.13259726283982</v>
      </c>
      <c r="K19" s="6"/>
      <c r="L19" s="13" t="s">
        <v>67</v>
      </c>
      <c r="M19" s="7"/>
      <c r="O19" s="95"/>
      <c r="P19" s="96"/>
      <c r="Q19" s="96"/>
      <c r="R19" s="96"/>
      <c r="S19" s="96"/>
      <c r="T19" s="96"/>
      <c r="U19" s="96"/>
      <c r="V19" s="41">
        <f>(J21-J27)/(J19-J25)</f>
        <v>0.16136623628984562</v>
      </c>
      <c r="W19" s="96"/>
      <c r="X19" s="58" t="s">
        <v>9</v>
      </c>
      <c r="Y19" s="97"/>
    </row>
    <row r="20" spans="1:25" ht="15" thickBot="1" x14ac:dyDescent="0.4">
      <c r="A20" s="5"/>
      <c r="B20" s="6"/>
      <c r="C20" s="6"/>
      <c r="D20" s="6"/>
      <c r="E20" s="6"/>
      <c r="F20" s="6"/>
      <c r="G20" s="6"/>
      <c r="H20" s="6"/>
      <c r="I20" s="6"/>
      <c r="J20" s="12">
        <f>EXP(-'Forward Rates'!C6/100*4*A2)*H25*H23</f>
        <v>3.6907819306739691E-2</v>
      </c>
      <c r="K20" s="6"/>
      <c r="L20" s="6"/>
      <c r="M20" s="7"/>
      <c r="O20" s="95"/>
      <c r="P20" s="96"/>
      <c r="Q20" s="96"/>
      <c r="R20" s="96"/>
      <c r="S20" s="96"/>
      <c r="T20" s="96"/>
      <c r="U20" s="96"/>
      <c r="V20" s="57">
        <f>(((L18-L24)/(L16-L22))-((L24-L30)/(L22-L28)))/(J19-J25)</f>
        <v>9.7470988533361457E-3</v>
      </c>
      <c r="W20" s="96"/>
      <c r="X20" s="96"/>
      <c r="Y20" s="97"/>
    </row>
    <row r="21" spans="1:25" ht="15" thickBot="1" x14ac:dyDescent="0.4">
      <c r="A21" s="5"/>
      <c r="B21" s="6"/>
      <c r="C21" s="6"/>
      <c r="D21" s="6"/>
      <c r="E21" s="6"/>
      <c r="F21" s="6"/>
      <c r="G21" s="6"/>
      <c r="H21" s="6"/>
      <c r="I21" s="6"/>
      <c r="J21" s="12">
        <f>J59/J20</f>
        <v>9.792412034857362</v>
      </c>
      <c r="K21" s="6"/>
      <c r="L21" s="6"/>
      <c r="M21" s="7"/>
      <c r="O21" s="95"/>
      <c r="P21" s="96"/>
      <c r="Q21" s="96"/>
      <c r="R21" s="96"/>
      <c r="S21" s="96"/>
      <c r="T21" s="41">
        <f>(H24-H30)/(H22-H28)</f>
        <v>5.1563470067781721E-3</v>
      </c>
      <c r="U21" s="96"/>
      <c r="V21" s="58">
        <f>(L24-H24)/(2*$A$2)</f>
        <v>0.53765895328163182</v>
      </c>
      <c r="W21" s="96"/>
      <c r="X21" s="41">
        <f>(L24-L30)/(L22-L28)</f>
        <v>-0.13117582714277576</v>
      </c>
      <c r="Y21" s="97"/>
    </row>
    <row r="22" spans="1:25" ht="15" thickBot="1" x14ac:dyDescent="0.4">
      <c r="A22" s="5"/>
      <c r="B22" s="6"/>
      <c r="C22" s="6"/>
      <c r="D22" s="6"/>
      <c r="E22" s="6"/>
      <c r="F22" s="6"/>
      <c r="G22" s="6"/>
      <c r="H22" s="41">
        <f>(F27*H28+(H28*EXP(-3*A2*'Forward Rates'!C5/100)-F25)*F25)/(F27+EXP(-3*A2*'Forward Rates'!C5/100)*H28-F25)</f>
        <v>225.13316248317108</v>
      </c>
      <c r="I22" s="6"/>
      <c r="J22" s="13">
        <f>(EXP(A2*'Forward Rates'!G7/100)*J19-L22)/(L16-L22)</f>
        <v>0.60806353717168071</v>
      </c>
      <c r="K22" s="6"/>
      <c r="L22" s="11">
        <f>(J27*L28+J25*(EXP(-5*A2*'Forward Rates'!C7/100)*L28-J25))/(J27+EXP(-5*A2*'Forward Rates'!C7/100)*L28-J25)</f>
        <v>214.95152841647226</v>
      </c>
      <c r="M22" s="7"/>
      <c r="O22" s="95"/>
      <c r="P22" s="96"/>
      <c r="Q22" s="96"/>
      <c r="R22" s="96"/>
      <c r="S22" s="96"/>
      <c r="T22" s="57">
        <f>(((J21-J27)/(J19-J25))-((J27-J33)/(J25-J31)))/(H22-H28)</f>
        <v>4.2243845077594286E-3</v>
      </c>
      <c r="U22" s="96"/>
      <c r="V22" s="96"/>
      <c r="W22" s="96"/>
      <c r="X22" s="57" t="s">
        <v>9</v>
      </c>
      <c r="Y22" s="97"/>
    </row>
    <row r="23" spans="1:25" ht="15" thickBot="1" x14ac:dyDescent="0.4">
      <c r="A23" s="5"/>
      <c r="B23" s="6"/>
      <c r="C23" s="6"/>
      <c r="D23" s="6"/>
      <c r="E23" s="6"/>
      <c r="F23" s="6"/>
      <c r="G23" s="6"/>
      <c r="H23" s="12">
        <f>EXP(-'Forward Rates'!C5/100*3*A2)*F28*F26</f>
        <v>6.2348023685997789E-2</v>
      </c>
      <c r="I23" s="6"/>
      <c r="J23" s="6"/>
      <c r="K23" s="6"/>
      <c r="L23" s="12">
        <f>EXP(-'Forward Rates'!C7/100*5*A2)*(J28*J26+(1-J22)*J20)</f>
        <v>0.14613000060722145</v>
      </c>
      <c r="M23" s="7"/>
      <c r="O23" s="95"/>
      <c r="P23" s="96"/>
      <c r="Q23" s="96"/>
      <c r="R23" s="41">
        <f>(F27-F33)/(F25-F31)</f>
        <v>0.14598834807410963</v>
      </c>
      <c r="S23" s="96"/>
      <c r="T23" s="58">
        <f>(J27-F27)/(2*$A$2)</f>
        <v>-15.206341477785005</v>
      </c>
      <c r="U23" s="96"/>
      <c r="V23" s="41">
        <f>(J27-J33)/(J25-J31)</f>
        <v>1.3208401609664458E-2</v>
      </c>
      <c r="W23" s="96"/>
      <c r="X23" s="58" t="s">
        <v>9</v>
      </c>
      <c r="Y23" s="97"/>
    </row>
    <row r="24" spans="1:25" ht="15" thickBot="1" x14ac:dyDescent="0.4">
      <c r="A24" s="5"/>
      <c r="B24" s="6"/>
      <c r="C24" s="6"/>
      <c r="D24" s="6"/>
      <c r="E24" s="6"/>
      <c r="F24" s="6"/>
      <c r="G24" s="6"/>
      <c r="H24" s="12">
        <f>H61/H23</f>
        <v>7.6133129325046536</v>
      </c>
      <c r="I24" s="6"/>
      <c r="J24" s="6"/>
      <c r="K24" s="6"/>
      <c r="L24" s="12">
        <f>(L61-(L17*(L16-EXP(-5*A2*'Forward Rates'!C7/100)*L22)))/L23</f>
        <v>7.7029227580515922</v>
      </c>
      <c r="M24" s="7"/>
      <c r="O24" s="95"/>
      <c r="P24" s="96"/>
      <c r="Q24" s="96"/>
      <c r="R24" s="57">
        <f>(((H24-H30)/(H22-H28))-((H30-H36)/(H28-H34)))/(F26-F32)</f>
        <v>0.18472840210357511</v>
      </c>
      <c r="S24" s="96"/>
      <c r="T24" s="96"/>
      <c r="U24" s="96"/>
      <c r="V24" s="57">
        <f>(((L24-L30)/(L22-L28))-((L30-L36)/(L28-L34)))/(J25-J31)</f>
        <v>-7.1780771440092409E-3</v>
      </c>
      <c r="W24" s="96"/>
      <c r="X24" s="96"/>
      <c r="Y24" s="97"/>
    </row>
    <row r="25" spans="1:25" ht="15" thickBot="1" x14ac:dyDescent="0.4">
      <c r="A25" s="5"/>
      <c r="B25" s="6"/>
      <c r="C25" s="6"/>
      <c r="D25" s="6"/>
      <c r="E25" s="6"/>
      <c r="F25" s="11">
        <f>((D30*F31+D28*((EXP(-2*A2*'Forward Rates'!C4/100)*F31)-D28))/(D30+EXP(-2*A2*'Forward Rates'!C4/100)*F31-D28))+F12</f>
        <v>199.6279412080892</v>
      </c>
      <c r="G25" s="6"/>
      <c r="H25" s="13">
        <f>(EXP(A2*'Forward Rates'!F6/100)*H22-J25)/(J19-J25)</f>
        <v>0.59634497466204428</v>
      </c>
      <c r="I25" s="6"/>
      <c r="J25" s="11">
        <f>(H30*J31+H28*(EXP(-4*A2*'Forward Rates'!C6/100)*J31-H28))/(H30+EXP(-4*A2*'Forward Rates'!C6/100)*J31-H28)</f>
        <v>208.49467613386992</v>
      </c>
      <c r="K25" s="6"/>
      <c r="L25" s="13" t="s">
        <v>67</v>
      </c>
      <c r="M25" s="7"/>
      <c r="O25" s="95" t="s">
        <v>11</v>
      </c>
      <c r="P25" s="41">
        <f>(D30-D36)/(D28-D34)</f>
        <v>-1.9160241035607734E-2</v>
      </c>
      <c r="Q25" s="96"/>
      <c r="R25" s="58">
        <f>(H30-D30)/(2*$A$2)</f>
        <v>13.177573161935587</v>
      </c>
      <c r="S25" s="96"/>
      <c r="T25" s="41">
        <f>(H30-H36)/(H28-H34)</f>
        <v>6.0451923979618724E-2</v>
      </c>
      <c r="U25" s="96"/>
      <c r="V25" s="58">
        <f>(L30-H30)/(2*$A$2)</f>
        <v>20.076245859406892</v>
      </c>
      <c r="W25" s="96"/>
      <c r="X25" s="41">
        <f>(L30-L36)/(L28-L34)</f>
        <v>7.4650088760825878E-2</v>
      </c>
      <c r="Y25" s="97"/>
    </row>
    <row r="26" spans="1:25" ht="15" thickBot="1" x14ac:dyDescent="0.4">
      <c r="A26" s="5"/>
      <c r="B26" s="6"/>
      <c r="C26" s="6"/>
      <c r="D26" s="6"/>
      <c r="E26" s="6"/>
      <c r="F26" s="12">
        <f>EXP(-'Forward Rates'!C4/100*2*A2)*D31*D29</f>
        <v>0.23830498324397101</v>
      </c>
      <c r="G26" s="6"/>
      <c r="H26" s="6"/>
      <c r="I26" s="6"/>
      <c r="J26" s="12">
        <f>EXP(-'Forward Rates'!C6/100*4*A2)*(H31*H29+(1-H25)*H23)</f>
        <v>0.17914682060293219</v>
      </c>
      <c r="K26" s="6"/>
      <c r="L26" s="6"/>
      <c r="M26" s="7"/>
      <c r="O26" s="95" t="s">
        <v>12</v>
      </c>
      <c r="P26" s="57">
        <f>(((F27-F33)/(F25-F31))-((F33-F39)/(F31-F37)))/(D28-D34)</f>
        <v>1.4105176248428447E-2</v>
      </c>
      <c r="Q26" s="96"/>
      <c r="R26" s="96"/>
      <c r="S26" s="96"/>
      <c r="T26" s="57">
        <f>(((J27-J33)/(J25-J31))-((J33-J39)/(J31-J37)))/(H28-H34)</f>
        <v>-1.2384253017078877E-3</v>
      </c>
      <c r="U26" s="96"/>
      <c r="V26" s="96"/>
      <c r="W26" s="96"/>
      <c r="X26" s="57" t="s">
        <v>9</v>
      </c>
      <c r="Y26" s="97"/>
    </row>
    <row r="27" spans="1:25" ht="15" thickBot="1" x14ac:dyDescent="0.4">
      <c r="A27" s="5"/>
      <c r="B27" s="6"/>
      <c r="C27" s="6"/>
      <c r="D27" s="6"/>
      <c r="E27" s="6"/>
      <c r="F27" s="12">
        <f>F63/F26</f>
        <v>7.7056087334075425</v>
      </c>
      <c r="G27" s="6"/>
      <c r="H27" s="6"/>
      <c r="I27" s="6"/>
      <c r="J27" s="57">
        <f>(J63-(J20*(J19-EXP(-4*A2*'Forward Rates'!C6/100)*J25)))/J26</f>
        <v>5.1712184871100417</v>
      </c>
      <c r="K27" s="6"/>
      <c r="L27" s="6"/>
      <c r="M27" s="7"/>
      <c r="O27" s="95" t="s">
        <v>13</v>
      </c>
      <c r="P27" s="58">
        <f>(F33-B33)/(2*$A$2)</f>
        <v>0.10293801950543191</v>
      </c>
      <c r="Q27" s="96"/>
      <c r="R27" s="41">
        <f>(F33-F39)/(F31-F37)</f>
        <v>-0.13643015652134366</v>
      </c>
      <c r="S27" s="96"/>
      <c r="T27" s="58">
        <f>(J33-F33)/(2*$A$2)</f>
        <v>0.10827989630662671</v>
      </c>
      <c r="U27" s="96"/>
      <c r="V27" s="41">
        <f>(J33-J39)/(J31-J37)</f>
        <v>3.8103542411661764E-2</v>
      </c>
      <c r="W27" s="96"/>
      <c r="X27" s="58" t="s">
        <v>9</v>
      </c>
      <c r="Y27" s="97"/>
    </row>
    <row r="28" spans="1:25" ht="15" thickBot="1" x14ac:dyDescent="0.4">
      <c r="A28" s="5"/>
      <c r="B28" s="6"/>
      <c r="C28" s="6"/>
      <c r="D28" s="11">
        <f>B31*D13</f>
        <v>188.62847766974642</v>
      </c>
      <c r="E28" s="6"/>
      <c r="F28" s="13">
        <f>(EXP(A2*'Forward Rates'!E5/100)*F25-H28-F6)/(H22-H28)</f>
        <v>0.26305555167759537</v>
      </c>
      <c r="G28" s="6"/>
      <c r="H28" s="11">
        <f>F31*H13</f>
        <v>190.06111011482201</v>
      </c>
      <c r="I28" s="6"/>
      <c r="J28" s="13">
        <f>(EXP(A2*'Forward Rates'!G7/100)*J25-L28)/(L22-L28)</f>
        <v>0.7426423725915563</v>
      </c>
      <c r="K28" s="6"/>
      <c r="L28" s="11">
        <f>J31*L13</f>
        <v>191.50523083435593</v>
      </c>
      <c r="M28" s="7"/>
      <c r="O28" s="95"/>
      <c r="P28" s="96"/>
      <c r="Q28" s="96"/>
      <c r="R28" s="57">
        <f>(((H30-H36)/(H28-H34))-((H36-H42)/(H34-H40)))/(F31-F37)</f>
        <v>3.0277404567504852E-3</v>
      </c>
      <c r="S28" s="96"/>
      <c r="T28" s="96"/>
      <c r="U28" s="96"/>
      <c r="V28" s="57">
        <f>(((L30-L36)/(L28-L34))-((L36-L41)/(L34-L40)))/(J31-J37)</f>
        <v>-6.2192827055591966E-3</v>
      </c>
      <c r="W28" s="96"/>
      <c r="X28" s="96"/>
      <c r="Y28" s="97"/>
    </row>
    <row r="29" spans="1:25" ht="15" thickBot="1" x14ac:dyDescent="0.4">
      <c r="A29" s="5"/>
      <c r="B29" s="6"/>
      <c r="C29" s="6"/>
      <c r="D29" s="12">
        <f>EXP(-'Forward Rates'!C3/100*A2)*B34</f>
        <v>0.5094948023939041</v>
      </c>
      <c r="E29" s="6"/>
      <c r="F29" s="6"/>
      <c r="G29" s="6"/>
      <c r="H29" s="12">
        <f>EXP(-'Forward Rates'!C5/100*3*A2)*((1-F28)*F26+F34*F32)</f>
        <v>0.41965257075589774</v>
      </c>
      <c r="I29" s="6"/>
      <c r="J29" s="6"/>
      <c r="K29" s="6"/>
      <c r="L29" s="12">
        <f>EXP(-'Forward Rates'!C7/100*5*A2)*(J34*J32+(1-J28)*J26)</f>
        <v>0.32404905309833382</v>
      </c>
      <c r="M29" s="7"/>
      <c r="O29" s="95"/>
      <c r="P29" s="96"/>
      <c r="Q29" s="96"/>
      <c r="R29" s="58">
        <f>(H36-D36)/(2*$A$2)</f>
        <v>3.584457232593083</v>
      </c>
      <c r="S29" s="96"/>
      <c r="T29" s="41">
        <f>(H36-H42)/(H34-H40)</f>
        <v>-1.1252288136294631E-2</v>
      </c>
      <c r="U29" s="96"/>
      <c r="V29" s="58">
        <f>(L36-H36)/(2*$A$2)</f>
        <v>17.372996687232117</v>
      </c>
      <c r="W29" s="96"/>
      <c r="X29" s="41">
        <f>(L36-L42)/(L34-L40)</f>
        <v>0.13687844761521439</v>
      </c>
      <c r="Y29" s="97"/>
    </row>
    <row r="30" spans="1:25" ht="15" thickBot="1" x14ac:dyDescent="0.4">
      <c r="A30" s="5"/>
      <c r="B30" s="6"/>
      <c r="C30" s="6"/>
      <c r="D30" s="12">
        <f>D65/D29</f>
        <v>5.2362070665976184</v>
      </c>
      <c r="E30" s="6"/>
      <c r="F30" s="6"/>
      <c r="G30" s="6"/>
      <c r="H30" s="57">
        <f>(H65-(H23*(H22-EXP(-3*A2*'Forward Rates'!C5/100)*H28)))/H29</f>
        <v>7.4324692602535496</v>
      </c>
      <c r="I30" s="6"/>
      <c r="J30" s="6"/>
      <c r="K30" s="6"/>
      <c r="L30" s="12">
        <f>(L65-(L23*(L22-EXP(-5*A2*'Forward Rates'!C7/100)*L28)))/L29</f>
        <v>10.778510236821365</v>
      </c>
      <c r="M30" s="7"/>
      <c r="O30" s="95"/>
      <c r="P30" s="96"/>
      <c r="Q30" s="96"/>
      <c r="R30" s="96"/>
      <c r="S30" s="96"/>
      <c r="T30" s="57">
        <f>(((J33-J39)/(J31-J37))-((J39-J45)/(J37-J43)))/(H34-H40)</f>
        <v>2.5082833482408984E-3</v>
      </c>
      <c r="U30" s="96"/>
      <c r="V30" s="96"/>
      <c r="W30" s="96"/>
      <c r="X30" s="57" t="s">
        <v>9</v>
      </c>
      <c r="Y30" s="97"/>
    </row>
    <row r="31" spans="1:25" ht="15" thickBot="1" x14ac:dyDescent="0.4">
      <c r="A31" s="36" t="s">
        <v>938</v>
      </c>
      <c r="B31" s="11">
        <f>179.97-B12</f>
        <v>178.49956979199351</v>
      </c>
      <c r="C31" s="6"/>
      <c r="D31" s="13">
        <f>(EXP(A2*'Forward Rates'!D4/100)*D28-F31)/(F25-F31)</f>
        <v>0.46941478157632593</v>
      </c>
      <c r="E31" s="6"/>
      <c r="F31" s="11">
        <f>B31*EXP(2*A2*'Forward Rates'!C4/100)+F12</f>
        <v>179.54977860856249</v>
      </c>
      <c r="G31" s="6"/>
      <c r="H31" s="13">
        <f>(EXP(A2*'Forward Rates'!F6/100)*H28-J31)/(J25-J31)</f>
        <v>0.3700808548657149</v>
      </c>
      <c r="I31" s="6"/>
      <c r="J31" s="11">
        <f>B31*EXP(4*A2*'Forward Rates'!C6/100)</f>
        <v>179.82043486085962</v>
      </c>
      <c r="K31" s="6"/>
      <c r="L31" s="13" t="s">
        <v>67</v>
      </c>
      <c r="M31" s="7"/>
      <c r="O31" s="95"/>
      <c r="P31" s="96"/>
      <c r="Q31" s="96"/>
      <c r="R31" s="96"/>
      <c r="S31" s="96"/>
      <c r="T31" s="58">
        <f>(J39-F39)/(2*$A$2)</f>
        <v>-27.565149273241538</v>
      </c>
      <c r="U31" s="96"/>
      <c r="V31" s="41">
        <f>(J39-J45)/(J37-J43)</f>
        <v>-5.2016533808255758E-2</v>
      </c>
      <c r="W31" s="96"/>
      <c r="X31" s="58" t="s">
        <v>9</v>
      </c>
      <c r="Y31" s="97"/>
    </row>
    <row r="32" spans="1:25" ht="15" thickBot="1" x14ac:dyDescent="0.4">
      <c r="A32" s="36" t="s">
        <v>521</v>
      </c>
      <c r="B32" s="12">
        <v>1</v>
      </c>
      <c r="C32" s="6"/>
      <c r="D32" s="6"/>
      <c r="E32" s="6"/>
      <c r="F32" s="12">
        <f>EXP(-'Forward Rates'!C4/100*2*A2)*((1-D31)*D29+D37*D35)</f>
        <v>0.53763944585593548</v>
      </c>
      <c r="G32" s="6"/>
      <c r="H32" s="6"/>
      <c r="I32" s="6"/>
      <c r="J32" s="12">
        <f>EXP(-4*'Forward Rates'!C6/100*A2)*((1-H31)*H29+H37*H35)</f>
        <v>0.57033233516279946</v>
      </c>
      <c r="K32" s="6"/>
      <c r="L32" s="6"/>
      <c r="M32" s="7"/>
      <c r="O32" s="95"/>
      <c r="P32" s="96"/>
      <c r="Q32" s="96"/>
      <c r="R32" s="96"/>
      <c r="S32" s="96"/>
      <c r="T32" s="96"/>
      <c r="U32" s="96"/>
      <c r="V32" s="57">
        <f>(((L36-L42)/(L34-L40))-((L42-L48)/(L40-L46)))/(J37-J43)</f>
        <v>2.5139996197577588E-3</v>
      </c>
      <c r="W32" s="96"/>
      <c r="X32" s="96"/>
      <c r="Y32" s="97"/>
    </row>
    <row r="33" spans="1:25" ht="15" thickBot="1" x14ac:dyDescent="0.4">
      <c r="A33" s="36" t="s">
        <v>939</v>
      </c>
      <c r="B33" s="12">
        <f>B67/B32</f>
        <v>4.7572746065550291</v>
      </c>
      <c r="C33" s="6"/>
      <c r="D33" s="6"/>
      <c r="E33" s="6"/>
      <c r="F33" s="12">
        <f>B33*EXP(2*A2*'Forward Rates'!C4/100)</f>
        <v>4.7744309431392677</v>
      </c>
      <c r="G33" s="6"/>
      <c r="H33" s="6"/>
      <c r="I33" s="6"/>
      <c r="J33" s="12">
        <f>B33*EXP(4*A2*'Forward Rates'!C6/100)</f>
        <v>4.7924775925237055</v>
      </c>
      <c r="K33" s="6"/>
      <c r="L33" s="6"/>
      <c r="M33" s="7"/>
      <c r="O33" s="95"/>
      <c r="P33" s="96"/>
      <c r="Q33" s="96"/>
      <c r="R33" s="96"/>
      <c r="S33" s="96"/>
      <c r="T33" s="96"/>
      <c r="U33" s="96"/>
      <c r="V33" s="58">
        <f>(L42-H42)/(2*$A$2)</f>
        <v>-9.5732536848773577</v>
      </c>
      <c r="W33" s="96"/>
      <c r="X33" s="41">
        <f>(L42-L48)/(L40-L46)</f>
        <v>2.772104148862195E-2</v>
      </c>
      <c r="Y33" s="97"/>
    </row>
    <row r="34" spans="1:25" ht="15" thickBot="1" x14ac:dyDescent="0.4">
      <c r="A34" s="36" t="s">
        <v>3</v>
      </c>
      <c r="B34" s="13">
        <f>(EXP('Forward Rates'!C3/100*A2)*B31-D34)/(D28-D34)</f>
        <v>0.51042676821868571</v>
      </c>
      <c r="C34" s="6"/>
      <c r="D34" s="11">
        <f>(B31*EXP(-A2*'Forward Rates'!C3/100))/D13</f>
        <v>168.60614688696592</v>
      </c>
      <c r="E34" s="6"/>
      <c r="F34" s="13">
        <f>(EXP(A2*'Forward Rates'!E5/100)*F31-H34-F6)/(H28-H34)</f>
        <v>0.45815024124463688</v>
      </c>
      <c r="G34" s="6"/>
      <c r="H34" s="11">
        <f>(F31*EXP(A2*'Forward Rates'!E5/100))/H13</f>
        <v>169.95885544700724</v>
      </c>
      <c r="I34" s="6"/>
      <c r="J34" s="13">
        <f>(EXP(A2*'Forward Rates'!G7/100)*J31-L34)/(L28-L34)</f>
        <v>0.49269344069133242</v>
      </c>
      <c r="K34" s="6"/>
      <c r="L34" s="11">
        <f>(J31*EXP(A2*'Forward Rates'!G7/100))/L13</f>
        <v>169.19097069957613</v>
      </c>
      <c r="M34" s="7"/>
      <c r="O34" s="95"/>
      <c r="P34" s="96"/>
      <c r="Q34" s="96"/>
      <c r="R34" s="96"/>
      <c r="S34" s="96"/>
      <c r="T34" s="96"/>
      <c r="U34" s="96"/>
      <c r="V34" s="96"/>
      <c r="W34" s="96"/>
      <c r="X34" s="57" t="s">
        <v>9</v>
      </c>
      <c r="Y34" s="97"/>
    </row>
    <row r="35" spans="1:25" ht="15" thickBot="1" x14ac:dyDescent="0.4">
      <c r="A35" s="5"/>
      <c r="B35" s="6"/>
      <c r="C35" s="6"/>
      <c r="D35" s="12">
        <f>EXP(-'Forward Rates'!C3/100*A2)*(1-B34)</f>
        <v>0.48867934151309744</v>
      </c>
      <c r="E35" s="6"/>
      <c r="F35" s="6"/>
      <c r="G35" s="6"/>
      <c r="H35" s="12">
        <f>EXP(-'Forward Rates'!C5/100*A2)*((1-F34)*F32+F40*F38)</f>
        <v>0.42084069010079295</v>
      </c>
      <c r="I35" s="6"/>
      <c r="J35" s="6"/>
      <c r="K35" s="6"/>
      <c r="L35" s="12">
        <f>EXP(-'Forward Rates'!C7/100*5*A2)*(J40*J38+(1-J34)*J32)</f>
        <v>0.3134349049089204</v>
      </c>
      <c r="M35" s="7"/>
      <c r="O35" s="95"/>
      <c r="P35" s="96"/>
      <c r="Q35" s="96"/>
      <c r="R35" s="96"/>
      <c r="S35" s="96"/>
      <c r="T35" s="96"/>
      <c r="U35" s="96"/>
      <c r="V35" s="96"/>
      <c r="W35" s="96"/>
      <c r="X35" s="58" t="s">
        <v>9</v>
      </c>
      <c r="Y35" s="97"/>
    </row>
    <row r="36" spans="1:25" ht="15" thickBot="1" x14ac:dyDescent="0.4">
      <c r="A36" s="5"/>
      <c r="B36" s="6"/>
      <c r="C36" s="6"/>
      <c r="D36" s="12">
        <f>D69/D35</f>
        <v>5.6198397504903612</v>
      </c>
      <c r="E36" s="6"/>
      <c r="F36" s="6"/>
      <c r="G36" s="6"/>
      <c r="H36" s="57">
        <f>(H69-(H41*(EXP(-3*A2*'Forward Rates'!C5/100)*H34-H40)))/H35</f>
        <v>6.2172492892558751</v>
      </c>
      <c r="I36" s="6"/>
      <c r="J36" s="6"/>
      <c r="K36" s="6"/>
      <c r="L36" s="57">
        <f>(L69-(L41*(EXP(-5*A2*'Forward Rates'!C7/100)*L34-L40)))/L35</f>
        <v>9.1127487371278946</v>
      </c>
      <c r="M36" s="7"/>
      <c r="O36" s="95"/>
      <c r="P36" s="96"/>
      <c r="Q36" s="96"/>
      <c r="R36" s="96"/>
      <c r="S36" s="96"/>
      <c r="T36" s="96"/>
      <c r="U36" s="96"/>
      <c r="V36" s="96"/>
      <c r="W36" s="96"/>
      <c r="X36" s="96"/>
      <c r="Y36" s="97"/>
    </row>
    <row r="37" spans="1:25" ht="15" thickBot="1" x14ac:dyDescent="0.4">
      <c r="A37" s="5"/>
      <c r="B37" s="6"/>
      <c r="C37" s="6"/>
      <c r="D37" s="13">
        <f>(EXP(A2*'Forward Rates'!D4/100)*D34-F37)/(F31-F37)</f>
        <v>0.55097058771657481</v>
      </c>
      <c r="E37" s="6"/>
      <c r="F37" s="11">
        <f>((D36*F31+D34*(D34-F31*EXP(-2*A2*'Forward Rates'!C4/100)))/(D36+D34-EXP(-2*A2*'Forward Rates'!C4/100)*F31))+F12</f>
        <v>155.86736159159344</v>
      </c>
      <c r="G37" s="6"/>
      <c r="H37" s="13">
        <f>(EXP(A2*'Forward Rates'!F6/100)*H34-J37)/(J31-J37)</f>
        <v>0.73710910488841308</v>
      </c>
      <c r="I37" s="6"/>
      <c r="J37" s="11">
        <f>((H36*J31)+H34*(H34-J31*EXP(-4*A2*'Forward Rates'!C6/100)))/(H36+H34-J31*EXP(-4*A2*'Forward Rates'!C6/100))</f>
        <v>143.57072559306363</v>
      </c>
      <c r="K37" s="6"/>
      <c r="L37" s="13" t="s">
        <v>67</v>
      </c>
      <c r="M37" s="7"/>
      <c r="O37" s="8"/>
      <c r="P37" s="9"/>
      <c r="Q37" s="9"/>
      <c r="R37" s="9"/>
      <c r="S37" s="9"/>
      <c r="T37" s="9"/>
      <c r="U37" s="9"/>
      <c r="V37" s="9"/>
      <c r="W37" s="9"/>
      <c r="X37" s="9"/>
      <c r="Y37" s="10"/>
    </row>
    <row r="38" spans="1:25" x14ac:dyDescent="0.35">
      <c r="A38" s="5"/>
      <c r="B38" s="6"/>
      <c r="C38" s="6"/>
      <c r="D38" s="6"/>
      <c r="E38" s="6"/>
      <c r="F38" s="12">
        <f>EXP(-'Forward Rates'!C4/100*2*A2)*(1-D37)*D35</f>
        <v>0.21864289749074858</v>
      </c>
      <c r="G38" s="6"/>
      <c r="H38" s="6"/>
      <c r="I38" s="6"/>
      <c r="J38" s="12">
        <f>EXP(-'Forward Rates'!C6/100*4*A2)*(H43*H41+(1-H37)*H35)</f>
        <v>0.17841531190708862</v>
      </c>
      <c r="K38" s="6"/>
      <c r="L38" s="6"/>
      <c r="M38" s="7"/>
    </row>
    <row r="39" spans="1:25" ht="15" thickBot="1" x14ac:dyDescent="0.4">
      <c r="A39" s="5"/>
      <c r="B39" s="6"/>
      <c r="C39" s="6"/>
      <c r="D39" s="6"/>
      <c r="E39" s="6"/>
      <c r="F39" s="12">
        <f>F71/F38</f>
        <v>8.0054268035680884</v>
      </c>
      <c r="G39" s="6"/>
      <c r="H39" s="6"/>
      <c r="I39" s="6"/>
      <c r="J39" s="57">
        <f>(J71-(J44*(EXP(-4*A2*'Forward Rates'!C6/100)*J37-J43)))/J38</f>
        <v>3.4112352580278325</v>
      </c>
      <c r="K39" s="6"/>
      <c r="L39" s="6"/>
      <c r="M39" s="7"/>
    </row>
    <row r="40" spans="1:25" ht="15" thickBot="1" x14ac:dyDescent="0.4">
      <c r="A40" s="5"/>
      <c r="B40" s="6"/>
      <c r="C40" s="6"/>
      <c r="D40" s="6"/>
      <c r="E40" s="6"/>
      <c r="F40" s="13">
        <f>(EXP(A2*'Forward Rates'!E5/100)*F37-H40-F6)/(H34-H40)</f>
        <v>0.59587206855311536</v>
      </c>
      <c r="G40" s="6"/>
      <c r="H40" s="41">
        <f>(F39*H34+(F37-H34*EXP(-3*A2*'Forward Rates'!C5/100))*F37)/(F39+F37-H34*EXP(-3*A2*'Forward Rates'!C5/100))</f>
        <v>134.02986987880169</v>
      </c>
      <c r="I40" s="6"/>
      <c r="J40" s="13">
        <f>(EXP(A2*'Forward Rates'!G7/100)*J37-L40)/(L34-L40)</f>
        <v>0.15164763959422131</v>
      </c>
      <c r="K40" s="6"/>
      <c r="L40" s="11">
        <f>((J39*L34)+J37*(J37-L34*EXP(-5*A2*'Forward Rates'!C7/100)))/(J39+J37-L34*EXP(-5*A2*'Forward Rates'!C7/100))</f>
        <v>139.33412689524562</v>
      </c>
      <c r="M40" s="7"/>
    </row>
    <row r="41" spans="1:25" x14ac:dyDescent="0.35">
      <c r="A41" s="5"/>
      <c r="B41" s="6"/>
      <c r="C41" s="6"/>
      <c r="D41" s="6"/>
      <c r="E41" s="6"/>
      <c r="F41" s="6"/>
      <c r="G41" s="6"/>
      <c r="H41" s="12">
        <f>EXP(-'Forward Rates'!C5/100*3*A2)*(1-F40)*F38</f>
        <v>8.7881272705043242E-2</v>
      </c>
      <c r="I41" s="6"/>
      <c r="J41" s="6"/>
      <c r="K41" s="6"/>
      <c r="L41" s="12">
        <f>EXP(-'Forward Rates'!C7/100*5*A2)*(J46*J44+(1-J40)*J38)</f>
        <v>0.15279116112879482</v>
      </c>
      <c r="M41" s="7"/>
    </row>
    <row r="42" spans="1:25" ht="15" thickBot="1" x14ac:dyDescent="0.4">
      <c r="A42" s="5"/>
      <c r="B42" s="6"/>
      <c r="C42" s="6"/>
      <c r="D42" s="6"/>
      <c r="E42" s="6"/>
      <c r="F42" s="6"/>
      <c r="G42" s="6"/>
      <c r="H42" s="12">
        <f>H73/H41</f>
        <v>6.6215325873140953</v>
      </c>
      <c r="I42" s="6"/>
      <c r="J42" s="6"/>
      <c r="K42" s="6"/>
      <c r="L42" s="57">
        <f>(L73-(L47*(EXP(-5*A2*'Forward Rates'!C7/100)*L40-L46)))/L41</f>
        <v>5.0259903065012024</v>
      </c>
      <c r="M42" s="7"/>
    </row>
    <row r="43" spans="1:25" ht="15" thickBot="1" x14ac:dyDescent="0.4">
      <c r="A43" s="5"/>
      <c r="B43" s="6"/>
      <c r="C43" s="6"/>
      <c r="D43" s="6"/>
      <c r="E43" s="6"/>
      <c r="F43" s="6"/>
      <c r="G43" s="6"/>
      <c r="H43" s="13">
        <f>(EXP(A2*'Forward Rates'!F6/100)*H40-J43)/(J37-J43)</f>
        <v>0.78629229681890467</v>
      </c>
      <c r="I43" s="6"/>
      <c r="J43" s="99">
        <f>((H42*J37)+H40*(H40-J37*EXP(-4*A2*'Forward Rates'!C6/100)))/(H42+H40-J37*EXP(-4*A2*'Forward Rates'!C6/100))</f>
        <v>100.15090751961837</v>
      </c>
      <c r="K43" s="6"/>
      <c r="L43" s="13" t="s">
        <v>67</v>
      </c>
      <c r="M43" s="7"/>
    </row>
    <row r="44" spans="1:25" x14ac:dyDescent="0.35">
      <c r="A44" s="5"/>
      <c r="B44" s="6"/>
      <c r="C44" s="6"/>
      <c r="D44" s="6"/>
      <c r="E44" s="6"/>
      <c r="F44" s="6"/>
      <c r="G44" s="6"/>
      <c r="H44" s="6"/>
      <c r="I44" s="6"/>
      <c r="J44" s="12">
        <f>EXP(-'Forward Rates'!C6/100*4*A2)*(1-H43)*H41</f>
        <v>1.8642950425080455E-2</v>
      </c>
      <c r="K44" s="6"/>
      <c r="L44" s="6"/>
      <c r="M44" s="7"/>
    </row>
    <row r="45" spans="1:25" ht="15" thickBot="1" x14ac:dyDescent="0.4">
      <c r="A45" s="5"/>
      <c r="B45" s="6"/>
      <c r="C45" s="6"/>
      <c r="D45" s="6"/>
      <c r="E45" s="6"/>
      <c r="F45" s="6"/>
      <c r="G45" s="6"/>
      <c r="H45" s="6"/>
      <c r="I45" s="6"/>
      <c r="J45" s="12">
        <f>J75/J44</f>
        <v>5.6697836927935121</v>
      </c>
      <c r="K45" s="6"/>
      <c r="L45" s="6"/>
      <c r="M45" s="7"/>
    </row>
    <row r="46" spans="1:25" ht="15" thickBot="1" x14ac:dyDescent="0.4">
      <c r="A46" s="5"/>
      <c r="B46" s="6"/>
      <c r="C46" s="6"/>
      <c r="D46" s="6"/>
      <c r="E46" s="6"/>
      <c r="F46" s="6"/>
      <c r="G46" s="6"/>
      <c r="H46" s="6"/>
      <c r="I46" s="6"/>
      <c r="J46" s="13">
        <f>(EXP(A2*'Forward Rates'!G7/100)*J43-L46)/(L40-L46)</f>
        <v>0.15407663444202005</v>
      </c>
      <c r="K46" s="6"/>
      <c r="L46" s="11">
        <f>((J45*L40)+J43*(J43-L40*EXP(-5*A2*'Forward Rates'!C7/100)))/(J45+J43-L40*EXP(-5*A2*'Forward Rates'!C7/100))</f>
        <v>93.254135500019288</v>
      </c>
      <c r="M46" s="7"/>
    </row>
    <row r="47" spans="1:25" x14ac:dyDescent="0.35">
      <c r="A47" s="5"/>
      <c r="B47" s="6"/>
      <c r="C47" s="6"/>
      <c r="D47" s="6"/>
      <c r="E47" s="6"/>
      <c r="F47" s="6"/>
      <c r="G47" s="6"/>
      <c r="H47" s="6"/>
      <c r="I47" s="6"/>
      <c r="J47" s="93"/>
      <c r="K47" s="6"/>
      <c r="L47" s="92">
        <f>EXP(-'Forward Rates'!C7/100*5*A2)*(1-J46)*J44</f>
        <v>1.562323017856938E-2</v>
      </c>
      <c r="M47" s="7"/>
    </row>
    <row r="48" spans="1:25" x14ac:dyDescent="0.35">
      <c r="A48" s="5"/>
      <c r="B48" s="6"/>
      <c r="C48" s="6"/>
      <c r="D48" s="6"/>
      <c r="E48" s="6"/>
      <c r="F48" s="6"/>
      <c r="G48" s="6"/>
      <c r="H48" s="6"/>
      <c r="I48" s="6"/>
      <c r="J48" s="6"/>
      <c r="K48" s="6"/>
      <c r="L48" s="12">
        <f>L77/L47</f>
        <v>3.7486049532387908</v>
      </c>
      <c r="M48" s="7"/>
    </row>
    <row r="49" spans="1:13" ht="15" thickBot="1" x14ac:dyDescent="0.4">
      <c r="A49" s="5"/>
      <c r="B49" s="6"/>
      <c r="C49" s="6"/>
      <c r="D49" s="6"/>
      <c r="E49" s="6"/>
      <c r="F49" s="6"/>
      <c r="G49" s="6"/>
      <c r="H49" s="6"/>
      <c r="I49" s="6"/>
      <c r="J49" s="6"/>
      <c r="K49" s="6"/>
      <c r="L49" s="13" t="s">
        <v>67</v>
      </c>
      <c r="M49" s="7"/>
    </row>
    <row r="50" spans="1:13" x14ac:dyDescent="0.35">
      <c r="A50" s="8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10"/>
    </row>
    <row r="53" spans="1:13" x14ac:dyDescent="0.35">
      <c r="A53" s="8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</row>
    <row r="54" spans="1:13" ht="15" thickBot="1" x14ac:dyDescent="0.4">
      <c r="A54" s="54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6"/>
    </row>
    <row r="55" spans="1:13" ht="18.5" x14ac:dyDescent="0.35">
      <c r="A55" s="84"/>
      <c r="B55" s="6"/>
      <c r="C55" s="6"/>
      <c r="D55" s="6"/>
      <c r="E55" s="6"/>
      <c r="F55" s="6"/>
      <c r="G55" s="6"/>
      <c r="H55" s="6"/>
      <c r="I55" s="6"/>
      <c r="J55" s="6"/>
      <c r="K55" s="6"/>
      <c r="L55" s="41">
        <f>L16</f>
        <v>252.22050756693162</v>
      </c>
      <c r="M55" s="56"/>
    </row>
    <row r="56" spans="1:13" ht="15" thickBot="1" x14ac:dyDescent="0.4">
      <c r="A56" s="5"/>
      <c r="B56" s="6"/>
      <c r="C56" s="6"/>
      <c r="D56" s="6"/>
      <c r="E56" s="6"/>
      <c r="F56" s="6"/>
      <c r="G56" s="6"/>
      <c r="H56" s="6"/>
      <c r="I56" s="6"/>
      <c r="J56" s="6"/>
      <c r="K56" s="6"/>
      <c r="L56" s="12">
        <f>intirr(1,X3,L55,3/12,'July Options'!I4:I76,'Oct Options'!I4:I76)</f>
        <v>0.23576778744636495</v>
      </c>
      <c r="M56" s="56"/>
    </row>
    <row r="57" spans="1:13" ht="15" thickBot="1" x14ac:dyDescent="0.4">
      <c r="A57" s="5"/>
      <c r="B57" s="6"/>
      <c r="C57" s="6"/>
      <c r="D57" s="6"/>
      <c r="E57" s="6"/>
      <c r="F57" s="6"/>
      <c r="G57" s="6"/>
      <c r="H57" s="6"/>
      <c r="I57" s="6"/>
      <c r="J57" s="11">
        <f>J19</f>
        <v>237.13259726283982</v>
      </c>
      <c r="K57" s="6"/>
      <c r="L57" s="13">
        <f>BSValue(1,$B$31,L55,'Forward Rates'!C8/100,L56,6*$A$2,0)</f>
        <v>0.29385583880538046</v>
      </c>
      <c r="M57" s="56"/>
    </row>
    <row r="58" spans="1:13" ht="15" thickBot="1" x14ac:dyDescent="0.4">
      <c r="A58" s="5"/>
      <c r="B58" s="6"/>
      <c r="C58" s="6"/>
      <c r="D58" s="6"/>
      <c r="E58" s="6"/>
      <c r="F58" s="6"/>
      <c r="G58" s="6"/>
      <c r="H58" s="6"/>
      <c r="I58" s="6"/>
      <c r="J58" s="12">
        <f>Bint(1,X3,J57,2/12,'July Options'!I4:I76,'Sep Options'!I4:I40)</f>
        <v>0.22784709579581813</v>
      </c>
      <c r="K58" s="6"/>
      <c r="L58" s="55"/>
      <c r="M58" s="56"/>
    </row>
    <row r="59" spans="1:13" ht="15" thickBot="1" x14ac:dyDescent="0.4">
      <c r="A59" s="5"/>
      <c r="B59" s="6"/>
      <c r="C59" s="6"/>
      <c r="D59" s="6"/>
      <c r="E59" s="6"/>
      <c r="F59" s="6"/>
      <c r="G59" s="6"/>
      <c r="H59" s="11">
        <f>H22</f>
        <v>225.13316248317108</v>
      </c>
      <c r="I59" s="6"/>
      <c r="J59" s="13">
        <f>BSValue(1,$B$31,J57,'Forward Rates'!C7/100,J58,5*$A$2,0)</f>
        <v>0.36141657395965865</v>
      </c>
      <c r="K59" s="6"/>
      <c r="L59" s="41">
        <f>L22</f>
        <v>214.95152841647226</v>
      </c>
      <c r="M59" s="56"/>
    </row>
    <row r="60" spans="1:13" ht="15" thickBot="1" x14ac:dyDescent="0.4">
      <c r="A60" s="5"/>
      <c r="B60" s="6"/>
      <c r="C60" s="6"/>
      <c r="D60" s="6"/>
      <c r="E60" s="6"/>
      <c r="F60" s="6"/>
      <c r="G60" s="6"/>
      <c r="H60" s="12">
        <f>Bint(1,V3,H59,2/12,'June Options'!I4:I41,'Aug Options'!I4:I28)</f>
        <v>0.22828449789686375</v>
      </c>
      <c r="I60" s="6"/>
      <c r="J60" s="6"/>
      <c r="K60" s="6"/>
      <c r="L60" s="57">
        <f>Bint(1,Z3,L59,2/12,'Aug Options'!I4:I28,'Oct Options'!I4:I76)</f>
        <v>0.22027970503747676</v>
      </c>
      <c r="M60" s="56"/>
    </row>
    <row r="61" spans="1:13" ht="15" thickBot="1" x14ac:dyDescent="0.4">
      <c r="A61" s="5"/>
      <c r="B61" s="6"/>
      <c r="C61" s="6"/>
      <c r="D61" s="6"/>
      <c r="E61" s="6"/>
      <c r="F61" s="11">
        <f>F25</f>
        <v>199.6279412080892</v>
      </c>
      <c r="G61" s="6"/>
      <c r="H61" s="13">
        <f>BSValue(1,$B$31,H59,'Forward Rates'!C6/100,H60,4*$A$2,0)</f>
        <v>0.47467501504471343</v>
      </c>
      <c r="I61" s="6"/>
      <c r="J61" s="11">
        <f>J25</f>
        <v>208.49467613386992</v>
      </c>
      <c r="K61" s="6"/>
      <c r="L61" s="58">
        <f>BSValue(1,$B$31,L59,'Forward Rates'!C8/100,L60,6*$A$2,0)</f>
        <v>1.9988483094875917</v>
      </c>
      <c r="M61" s="56"/>
    </row>
    <row r="62" spans="1:13" ht="15" thickBot="1" x14ac:dyDescent="0.4">
      <c r="A62" s="5"/>
      <c r="B62" s="6"/>
      <c r="C62" s="6"/>
      <c r="D62" s="6"/>
      <c r="E62" s="6"/>
      <c r="F62" s="12">
        <f>Bint(1,T3,F61,2/12,'May Options'!I4:I25,'July Options'!I4:I76)</f>
        <v>0.22158207884190378</v>
      </c>
      <c r="G62" s="6"/>
      <c r="H62" s="6"/>
      <c r="I62" s="6"/>
      <c r="J62" s="12">
        <f>Bint(1,X3,J61,2/12,'July Options'!I4:I76,'Sep Options'!I4:I40)</f>
        <v>0.21614569086849894</v>
      </c>
      <c r="K62" s="6"/>
      <c r="L62" s="55"/>
      <c r="M62" s="56"/>
    </row>
    <row r="63" spans="1:13" ht="15" thickBot="1" x14ac:dyDescent="0.4">
      <c r="A63" s="5"/>
      <c r="B63" s="6"/>
      <c r="C63" s="6"/>
      <c r="D63" s="11">
        <f>D28</f>
        <v>188.62847766974642</v>
      </c>
      <c r="E63" s="6"/>
      <c r="F63" s="13">
        <f>BSValue(1,$B$31,F61,'Forward Rates'!C5/100,F62,3*$A$2,F6/B31)</f>
        <v>1.836284960099281</v>
      </c>
      <c r="G63" s="6"/>
      <c r="H63" s="11">
        <f>H28</f>
        <v>190.06111011482201</v>
      </c>
      <c r="I63" s="6"/>
      <c r="J63" s="13">
        <f>BSValue(1,$B$31,J61,'Forward Rates'!C7/100,J62,5*$A$2,0)</f>
        <v>2.0398945532593942</v>
      </c>
      <c r="K63" s="6"/>
      <c r="L63" s="41">
        <f>L28</f>
        <v>191.50523083435593</v>
      </c>
      <c r="M63" s="56"/>
    </row>
    <row r="64" spans="1:13" ht="15" thickBot="1" x14ac:dyDescent="0.4">
      <c r="A64" s="5"/>
      <c r="B64" s="6"/>
      <c r="C64" s="6"/>
      <c r="D64" s="12">
        <f>Bint(1,R3,D63,2/12,'April Options'!I4:I72,'June Options'!I4:I41)</f>
        <v>0.21113207590088479</v>
      </c>
      <c r="E64" s="6"/>
      <c r="F64" s="6"/>
      <c r="G64" s="6"/>
      <c r="H64" s="12">
        <f>Bint(1,V3,H63,2/12,'June Options'!I4:I41,'Aug Options'!I4:I28)</f>
        <v>0.22747638361959521</v>
      </c>
      <c r="I64" s="6"/>
      <c r="J64" s="6"/>
      <c r="K64" s="6"/>
      <c r="L64" s="57">
        <f>Bint(1,Z3,L63,2/12,'Aug Options'!I4:I28,'Oct Options'!I4:I76)</f>
        <v>0.22798058011704697</v>
      </c>
      <c r="M64" s="56"/>
    </row>
    <row r="65" spans="1:13" ht="15" thickBot="1" x14ac:dyDescent="0.4">
      <c r="A65" s="85" t="s">
        <v>69</v>
      </c>
      <c r="B65" s="11">
        <f>B31</f>
        <v>178.49956979199351</v>
      </c>
      <c r="C65" s="6"/>
      <c r="D65" s="13">
        <f>BSValue(1,B31,D63,'Forward Rates'!C4/100,D64,2*A2,0)</f>
        <v>2.6678202846897179</v>
      </c>
      <c r="E65" s="6"/>
      <c r="F65" s="11">
        <f>F31</f>
        <v>179.54977860856249</v>
      </c>
      <c r="G65" s="6"/>
      <c r="H65" s="13">
        <f>BSValue(1,$B$31,H63,'Forward Rates'!C6/100,H64,4*$A$2,0)</f>
        <v>5.3698902027828126</v>
      </c>
      <c r="I65" s="6"/>
      <c r="J65" s="11">
        <f>J31</f>
        <v>179.82043486085962</v>
      </c>
      <c r="K65" s="6"/>
      <c r="L65" s="58">
        <f>BSValue(1,$B$31,L63,'Forward Rates'!C8/100,L64,6*$A$2,0)</f>
        <v>7.1803158994670255</v>
      </c>
      <c r="M65" s="56"/>
    </row>
    <row r="66" spans="1:13" ht="15" thickBot="1" x14ac:dyDescent="0.4">
      <c r="A66" s="85" t="s">
        <v>948</v>
      </c>
      <c r="B66" s="12">
        <f>Bint(-1,P3,B65,2/12,'March Options'!I4:I95,'May Options'!I4:I25)</f>
        <v>0.23953034366070081</v>
      </c>
      <c r="C66" s="6"/>
      <c r="D66" s="6"/>
      <c r="E66" s="6"/>
      <c r="F66" s="90">
        <f>Bint(-1,T3,F65,2/12,'May Options'!I4:I25,'July Options'!I4:I76)</f>
        <v>0.23601422595416366</v>
      </c>
      <c r="G66" s="6"/>
      <c r="H66" s="6"/>
      <c r="I66" s="6"/>
      <c r="J66" s="90"/>
      <c r="K66" s="6"/>
      <c r="L66" s="55"/>
      <c r="M66" s="56"/>
    </row>
    <row r="67" spans="1:13" ht="15" thickBot="1" x14ac:dyDescent="0.4">
      <c r="A67" s="85" t="s">
        <v>949</v>
      </c>
      <c r="B67" s="13">
        <f>BSValue(-1,$B$31,B65,'Forward Rates'!C3/100,B66,$A$2,0)</f>
        <v>4.7572746065550291</v>
      </c>
      <c r="C67" s="6"/>
      <c r="D67" s="11">
        <f>D34</f>
        <v>168.60614688696592</v>
      </c>
      <c r="E67" s="6"/>
      <c r="F67" s="91">
        <f>BSValue(-1,$B$31,F65,'Forward Rates'!C5/100,F66,3*$A$2,F6/B31)</f>
        <v>8.5281381265555751</v>
      </c>
      <c r="G67" s="6"/>
      <c r="H67" s="11">
        <f>H34</f>
        <v>169.95885544700724</v>
      </c>
      <c r="I67" s="6"/>
      <c r="J67" s="91"/>
      <c r="K67" s="6"/>
      <c r="L67" s="41">
        <f>L34</f>
        <v>169.19097069957613</v>
      </c>
      <c r="M67" s="56"/>
    </row>
    <row r="68" spans="1:13" ht="15" thickBot="1" x14ac:dyDescent="0.4">
      <c r="A68" s="5"/>
      <c r="B68" s="6"/>
      <c r="C68" s="6"/>
      <c r="D68" s="12">
        <f>Bint(-1,R3,D67,2/12,'April Options'!I4:I72,'June Options'!I4:I41)</f>
        <v>0.23880684994769716</v>
      </c>
      <c r="E68" s="6"/>
      <c r="F68" s="6"/>
      <c r="G68" s="6"/>
      <c r="H68" s="12">
        <f>Bint(-1,V3,H67,2/12,'June Options'!I4:I41,'Aug Options'!I4:I28)</f>
        <v>0.24588728174082389</v>
      </c>
      <c r="I68" s="6"/>
      <c r="J68" s="6"/>
      <c r="K68" s="6"/>
      <c r="L68" s="57">
        <f>Bint(-1,Z3,L67,2/12,'Aug Options'!I4:I28,'Oct Options'!I4:I76)</f>
        <v>0.24573276121517873</v>
      </c>
      <c r="M68" s="56"/>
    </row>
    <row r="69" spans="1:13" ht="15" thickBot="1" x14ac:dyDescent="0.4">
      <c r="A69" s="5"/>
      <c r="B69" s="6"/>
      <c r="C69" s="6"/>
      <c r="D69" s="13">
        <f>BSValue(-1,B31,D67,'Forward Rates'!C4/100,D68,2*A2,0)</f>
        <v>2.7462995886787596</v>
      </c>
      <c r="E69" s="6"/>
      <c r="F69" s="11">
        <f>F37</f>
        <v>155.86736159159344</v>
      </c>
      <c r="G69" s="6"/>
      <c r="H69" s="13">
        <f>BSValue(-1,$B$31,H67,'Forward Rates'!C6/100,H68,4*$A$2,0)</f>
        <v>5.6930834595911861</v>
      </c>
      <c r="I69" s="6"/>
      <c r="J69" s="11">
        <f>J37</f>
        <v>143.57072559306363</v>
      </c>
      <c r="K69" s="6"/>
      <c r="L69" s="58">
        <f>BSValue(-1,$B$31,L67,'Forward Rates'!C8/100,L68,6*$A$2,0)</f>
        <v>7.1766998198817191</v>
      </c>
      <c r="M69" s="56"/>
    </row>
    <row r="70" spans="1:13" ht="15" thickBot="1" x14ac:dyDescent="0.4">
      <c r="A70" s="5"/>
      <c r="B70" s="6"/>
      <c r="C70" s="6"/>
      <c r="D70" s="6"/>
      <c r="E70" s="6"/>
      <c r="F70" s="12">
        <f>Bint(-1,T3,F69,2/12,'May Options'!I4:I25,'July Options'!I4:I76)</f>
        <v>0.2705369377390634</v>
      </c>
      <c r="G70" s="6"/>
      <c r="H70" s="6"/>
      <c r="I70" s="6"/>
      <c r="J70" s="12">
        <f>Bint(-1,X3,J69,2/12,'July Options'!I4:I76,'Sep Options'!I4:I40)</f>
        <v>0.27815711286065253</v>
      </c>
      <c r="K70" s="6"/>
      <c r="L70" s="55"/>
      <c r="M70" s="56"/>
    </row>
    <row r="71" spans="1:13" ht="15" thickBot="1" x14ac:dyDescent="0.4">
      <c r="A71" s="5"/>
      <c r="B71" s="6"/>
      <c r="C71" s="6"/>
      <c r="D71" s="6"/>
      <c r="E71" s="6"/>
      <c r="F71" s="13">
        <f>BSValue(-1,$B$31,F69,'Forward Rates'!C5/100,F70,3*$A$2,F6/B31)</f>
        <v>1.7503297119822285</v>
      </c>
      <c r="G71" s="6"/>
      <c r="H71" s="11">
        <f>H40</f>
        <v>134.02986987880169</v>
      </c>
      <c r="I71" s="6"/>
      <c r="J71" s="13">
        <f>BSValue(-1,$B$31,J69,'Forward Rates'!C7/100,J70,5*$A$2,0)</f>
        <v>1.3984293742144107</v>
      </c>
      <c r="K71" s="6"/>
      <c r="L71" s="41">
        <f>L40</f>
        <v>139.33412689524562</v>
      </c>
      <c r="M71" s="56"/>
    </row>
    <row r="72" spans="1:13" ht="15" thickBot="1" x14ac:dyDescent="0.4">
      <c r="A72" s="5"/>
      <c r="B72" s="6"/>
      <c r="C72" s="6"/>
      <c r="D72" s="6"/>
      <c r="E72" s="6"/>
      <c r="F72" s="6"/>
      <c r="G72" s="6"/>
      <c r="H72" s="12">
        <f>Bint(-1,$V$3,H71,2/12,'June Options'!I4:I41,'Aug Options'!I4:I28)</f>
        <v>0.31038348565564389</v>
      </c>
      <c r="I72" s="6"/>
      <c r="J72" s="6"/>
      <c r="K72" s="6"/>
      <c r="L72" s="57">
        <f>Bint(-1,Z3,L71,2/12,'Aug Options'!I4:I28,'Oct Options'!I4:I76)</f>
        <v>0.2845205396013164</v>
      </c>
      <c r="M72" s="56"/>
    </row>
    <row r="73" spans="1:13" ht="15" thickBot="1" x14ac:dyDescent="0.4">
      <c r="A73" s="5"/>
      <c r="B73" s="6"/>
      <c r="C73" s="6"/>
      <c r="D73" s="6"/>
      <c r="E73" s="6"/>
      <c r="F73" s="6"/>
      <c r="G73" s="6"/>
      <c r="H73" s="13">
        <f>BSValue(-1,$B$31,H71,'Forward Rates'!C6/100,H72,4*$A$2,0)</f>
        <v>0.58190871103108055</v>
      </c>
      <c r="I73" s="6"/>
      <c r="J73" s="11">
        <f>J43</f>
        <v>100.15090751961837</v>
      </c>
      <c r="K73" s="6"/>
      <c r="L73" s="58">
        <f>BSValue(-1,$B$31,L71,'Forward Rates'!C8/100,L72,6*$A$2,0)</f>
        <v>1.4675161069328944</v>
      </c>
      <c r="M73" s="56"/>
    </row>
    <row r="74" spans="1:13" ht="15" thickBot="1" x14ac:dyDescent="0.4">
      <c r="A74" s="5"/>
      <c r="B74" s="6"/>
      <c r="C74" s="6"/>
      <c r="D74" s="6"/>
      <c r="E74" s="6"/>
      <c r="F74" s="6"/>
      <c r="G74" s="6"/>
      <c r="H74" s="6"/>
      <c r="I74" s="6"/>
      <c r="J74" s="12">
        <f>Bint(-1,X3,J73,2/12,'July Options'!I4:I76,'Sep Options'!I4:I40)</f>
        <v>0.3877602542361141</v>
      </c>
      <c r="K74" s="6"/>
      <c r="L74" s="55"/>
      <c r="M74" s="56"/>
    </row>
    <row r="75" spans="1:13" ht="15" thickBot="1" x14ac:dyDescent="0.4">
      <c r="A75" s="5"/>
      <c r="B75" s="6"/>
      <c r="C75" s="6"/>
      <c r="D75" s="6"/>
      <c r="E75" s="6"/>
      <c r="F75" s="6"/>
      <c r="G75" s="6"/>
      <c r="H75" s="6"/>
      <c r="I75" s="6"/>
      <c r="J75" s="13">
        <f>BSValue(-1,$B$31,J73,'Forward Rates'!C7/100,J74,5*$A$2,0)</f>
        <v>0.10570149630567904</v>
      </c>
      <c r="K75" s="6"/>
      <c r="L75" s="41">
        <f>L46</f>
        <v>93.254135500019288</v>
      </c>
      <c r="M75" s="56"/>
    </row>
    <row r="76" spans="1:13" x14ac:dyDescent="0.3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57">
        <f>Bint(-1,Z3,L75,2/12,'Aug Options'!I4:I28,'Oct Options'!I4:I76)</f>
        <v>0.36783017612236979</v>
      </c>
      <c r="M76" s="56"/>
    </row>
    <row r="77" spans="1:13" ht="15" thickBot="1" x14ac:dyDescent="0.4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58">
        <f>BSValue(-1,$B$31,L75,'Forward Rates'!C8/100,L76,6*$A$2,0)</f>
        <v>5.8565318032974933E-2</v>
      </c>
      <c r="M77" s="56"/>
    </row>
    <row r="78" spans="1:13" x14ac:dyDescent="0.35">
      <c r="A78" s="59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1"/>
    </row>
  </sheetData>
  <mergeCells count="1">
    <mergeCell ref="O15:P15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DB24-885E-A94F-8F9D-582BD7067EB1}">
  <sheetPr codeName="Sheet4"/>
  <dimension ref="A1:AB62"/>
  <sheetViews>
    <sheetView tabSelected="1" zoomScale="57" zoomScaleNormal="57" workbookViewId="0">
      <selection activeCell="L53" sqref="L53"/>
    </sheetView>
  </sheetViews>
  <sheetFormatPr defaultColWidth="8.81640625" defaultRowHeight="14.5" x14ac:dyDescent="0.35"/>
  <cols>
    <col min="1" max="1" width="16.81640625" style="38" customWidth="1"/>
    <col min="2" max="2" width="7.26953125" style="38" customWidth="1"/>
    <col min="3" max="3" width="6.6328125" style="38" bestFit="1" customWidth="1"/>
    <col min="4" max="4" width="12.6328125" style="38" bestFit="1" customWidth="1"/>
    <col min="5" max="5" width="7.36328125" style="38" bestFit="1" customWidth="1"/>
    <col min="6" max="6" width="8.1796875" style="38" bestFit="1" customWidth="1"/>
    <col min="7" max="8" width="8.6328125" style="38" bestFit="1" customWidth="1"/>
    <col min="9" max="9" width="9" style="38" bestFit="1" customWidth="1"/>
    <col min="10" max="10" width="10.1796875" style="38" customWidth="1"/>
    <col min="11" max="11" width="6.6328125" style="38" bestFit="1" customWidth="1"/>
    <col min="12" max="12" width="8.6328125" style="38" customWidth="1"/>
    <col min="13" max="13" width="7.6328125" style="38" bestFit="1" customWidth="1"/>
    <col min="14" max="14" width="8.81640625" style="38"/>
    <col min="15" max="15" width="13.1796875" style="38" bestFit="1" customWidth="1"/>
    <col min="16" max="16384" width="8.81640625" style="38"/>
  </cols>
  <sheetData>
    <row r="1" spans="1:28" x14ac:dyDescent="0.35">
      <c r="A1" s="98" t="s">
        <v>943</v>
      </c>
      <c r="B1" s="63">
        <v>0</v>
      </c>
      <c r="C1" s="64"/>
      <c r="D1" s="64">
        <v>1</v>
      </c>
      <c r="E1" s="64"/>
      <c r="F1" s="64">
        <v>2</v>
      </c>
      <c r="G1" s="64"/>
      <c r="H1" s="64">
        <v>3</v>
      </c>
      <c r="I1" s="64"/>
      <c r="J1" s="64">
        <v>4</v>
      </c>
      <c r="K1" s="64"/>
      <c r="L1" s="65">
        <v>5</v>
      </c>
      <c r="M1" s="62"/>
      <c r="O1" s="51" t="s">
        <v>944</v>
      </c>
      <c r="P1" s="81">
        <v>0</v>
      </c>
      <c r="R1" s="81">
        <v>1</v>
      </c>
      <c r="T1" s="81">
        <v>2</v>
      </c>
      <c r="V1" s="81">
        <v>3</v>
      </c>
      <c r="X1" s="81">
        <v>4</v>
      </c>
      <c r="Z1" s="81">
        <v>5</v>
      </c>
      <c r="AA1" s="82">
        <v>6</v>
      </c>
      <c r="AB1" s="82">
        <v>7</v>
      </c>
    </row>
    <row r="2" spans="1:28" x14ac:dyDescent="0.35">
      <c r="A2" s="78">
        <f>1/12</f>
        <v>8.3333333333333329E-2</v>
      </c>
      <c r="B2" s="66" t="s">
        <v>62</v>
      </c>
      <c r="C2" s="62"/>
      <c r="D2" s="62" t="s">
        <v>60</v>
      </c>
      <c r="E2" s="62"/>
      <c r="F2" s="62" t="s">
        <v>23</v>
      </c>
      <c r="G2" s="62"/>
      <c r="H2" s="62" t="s">
        <v>25</v>
      </c>
      <c r="I2" s="62"/>
      <c r="J2" s="62" t="s">
        <v>61</v>
      </c>
      <c r="K2" s="62"/>
      <c r="L2" s="67" t="s">
        <v>24</v>
      </c>
      <c r="M2" s="79"/>
      <c r="P2" s="79" t="s">
        <v>62</v>
      </c>
      <c r="R2" s="79" t="s">
        <v>60</v>
      </c>
      <c r="T2" s="79" t="s">
        <v>23</v>
      </c>
      <c r="V2" s="79" t="s">
        <v>25</v>
      </c>
      <c r="X2" s="79" t="s">
        <v>61</v>
      </c>
      <c r="Z2" s="79" t="s">
        <v>24</v>
      </c>
      <c r="AA2" s="38" t="s">
        <v>946</v>
      </c>
      <c r="AB2" s="38" t="s">
        <v>947</v>
      </c>
    </row>
    <row r="3" spans="1:28" x14ac:dyDescent="0.35">
      <c r="A3" s="68" t="s">
        <v>66</v>
      </c>
      <c r="B3" s="62"/>
      <c r="C3" s="64"/>
      <c r="D3" s="64" t="s">
        <v>53</v>
      </c>
      <c r="E3" s="64"/>
      <c r="F3" s="64" t="s">
        <v>54</v>
      </c>
      <c r="G3" s="64"/>
      <c r="H3" s="64" t="s">
        <v>55</v>
      </c>
      <c r="I3" s="64"/>
      <c r="J3" s="64" t="s">
        <v>56</v>
      </c>
      <c r="K3" s="64"/>
      <c r="L3" s="65" t="s">
        <v>57</v>
      </c>
      <c r="M3" s="79"/>
      <c r="O3" s="38" t="s">
        <v>945</v>
      </c>
      <c r="P3" s="82">
        <v>6</v>
      </c>
      <c r="R3" s="82">
        <f>$P$3+R1</f>
        <v>7</v>
      </c>
      <c r="T3" s="82">
        <f>$P$3+T1</f>
        <v>8</v>
      </c>
      <c r="V3" s="82">
        <f>$P$3+V1</f>
        <v>9</v>
      </c>
      <c r="X3" s="82">
        <f>$P$3+X1</f>
        <v>10</v>
      </c>
      <c r="Z3" s="82">
        <f>$P$3+Z1</f>
        <v>11</v>
      </c>
      <c r="AA3" s="82">
        <f>$P$3+AA1</f>
        <v>12</v>
      </c>
      <c r="AB3" s="82">
        <f>$P$3+AB1</f>
        <v>13</v>
      </c>
    </row>
    <row r="4" spans="1:28" x14ac:dyDescent="0.25">
      <c r="A4" s="69" t="s">
        <v>58</v>
      </c>
      <c r="B4" s="62"/>
      <c r="C4" s="62"/>
      <c r="D4" s="70">
        <f>'Forward Rates'!C3</f>
        <v>2.1930299999999998</v>
      </c>
      <c r="E4" s="62"/>
      <c r="F4" s="70">
        <f>'Forward Rates'!C4</f>
        <v>2.15991</v>
      </c>
      <c r="G4" s="62"/>
      <c r="H4" s="70">
        <f>'Forward Rates'!C5</f>
        <v>2.17171</v>
      </c>
      <c r="I4" s="62"/>
      <c r="J4" s="62">
        <f>'Forward Rates'!C6</f>
        <v>2.2117733333333334</v>
      </c>
      <c r="K4" s="62"/>
      <c r="L4" s="67">
        <f>'Forward Rates'!C7</f>
        <v>2.2518366666666667</v>
      </c>
      <c r="M4" s="80"/>
    </row>
    <row r="5" spans="1:28" x14ac:dyDescent="0.35">
      <c r="A5" s="71" t="s">
        <v>59</v>
      </c>
      <c r="B5" s="72"/>
      <c r="C5" s="72"/>
      <c r="D5" s="72">
        <f>D4/100</f>
        <v>2.19303E-2</v>
      </c>
      <c r="E5" s="72"/>
      <c r="F5" s="89">
        <f>F4/100</f>
        <v>2.15991E-2</v>
      </c>
      <c r="G5" s="72"/>
      <c r="H5" s="72">
        <f>H4/100</f>
        <v>2.17171E-2</v>
      </c>
      <c r="I5" s="72"/>
      <c r="J5" s="89">
        <f>J4/100</f>
        <v>2.2117733333333334E-2</v>
      </c>
      <c r="K5" s="72"/>
      <c r="L5" s="73">
        <f>L4/100</f>
        <v>2.2518366666666668E-2</v>
      </c>
      <c r="M5" s="79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</row>
    <row r="6" spans="1:28" x14ac:dyDescent="0.35">
      <c r="A6" s="74" t="s">
        <v>65</v>
      </c>
      <c r="B6" s="62" t="s">
        <v>67</v>
      </c>
      <c r="C6" s="62"/>
      <c r="D6" s="62">
        <v>0</v>
      </c>
      <c r="E6" s="62"/>
      <c r="F6" s="62">
        <v>0.74</v>
      </c>
      <c r="G6" s="62"/>
      <c r="H6" s="62">
        <v>0</v>
      </c>
      <c r="I6" s="62"/>
      <c r="J6" s="62">
        <v>0</v>
      </c>
      <c r="K6" s="62"/>
      <c r="L6" s="67">
        <v>0.74</v>
      </c>
      <c r="M6" s="79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</row>
    <row r="7" spans="1:28" ht="18.5" x14ac:dyDescent="0.35">
      <c r="A7" s="75" t="s">
        <v>942</v>
      </c>
      <c r="B7" s="62" t="s">
        <v>67</v>
      </c>
      <c r="C7" s="62"/>
      <c r="D7" s="62">
        <v>0</v>
      </c>
      <c r="E7" s="62"/>
      <c r="F7" s="62">
        <f>F6*EXP(-F5*A2*2)</f>
        <v>0.73734090005206177</v>
      </c>
      <c r="G7" s="62"/>
      <c r="H7" s="62">
        <v>0</v>
      </c>
      <c r="I7" s="62"/>
      <c r="J7" s="62">
        <v>0</v>
      </c>
      <c r="K7" s="62"/>
      <c r="L7" s="67">
        <f>L6*EXP(-L5*A2*5)</f>
        <v>0.73308930795441729</v>
      </c>
      <c r="M7" s="79"/>
      <c r="O7" s="100"/>
      <c r="P7" s="96"/>
      <c r="Q7" s="96"/>
      <c r="R7" s="96"/>
      <c r="S7" s="96"/>
      <c r="T7" s="96"/>
      <c r="U7" s="96"/>
      <c r="V7" s="96"/>
      <c r="W7" s="96"/>
      <c r="X7" s="96"/>
      <c r="Y7" s="96"/>
      <c r="Z7" s="55"/>
      <c r="AA7" s="55"/>
    </row>
    <row r="8" spans="1:28" x14ac:dyDescent="0.35">
      <c r="A8" s="76"/>
      <c r="B8" s="62" t="s">
        <v>67</v>
      </c>
      <c r="C8" s="62"/>
      <c r="D8" s="62" t="s">
        <v>67</v>
      </c>
      <c r="E8" s="62"/>
      <c r="F8" s="62">
        <f>F6*EXP(-'Forward Rates'!D3*A2)</f>
        <v>0.62013788772277278</v>
      </c>
      <c r="G8" s="62"/>
      <c r="H8" s="62">
        <v>0</v>
      </c>
      <c r="I8" s="62"/>
      <c r="J8" s="62">
        <v>0</v>
      </c>
      <c r="K8" s="62"/>
      <c r="L8" s="67">
        <f>L6*EXP(-'Forward Rates'!D6*A2*4)</f>
        <v>0.3476030950157068</v>
      </c>
      <c r="M8" s="79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55"/>
      <c r="AA8" s="55"/>
    </row>
    <row r="9" spans="1:28" x14ac:dyDescent="0.35">
      <c r="A9" s="76"/>
      <c r="B9" s="62" t="s">
        <v>67</v>
      </c>
      <c r="C9" s="62"/>
      <c r="D9" s="62" t="s">
        <v>67</v>
      </c>
      <c r="E9" s="62"/>
      <c r="F9" s="62" t="s">
        <v>67</v>
      </c>
      <c r="G9" s="62"/>
      <c r="H9" s="62">
        <v>0</v>
      </c>
      <c r="I9" s="62"/>
      <c r="J9" s="62">
        <v>0</v>
      </c>
      <c r="K9" s="62"/>
      <c r="L9" s="67">
        <f>L6*EXP(-'Forward Rates'!E5*A2*3)</f>
        <v>0.40647917033969683</v>
      </c>
      <c r="M9" s="79"/>
      <c r="O9" s="96"/>
      <c r="P9" s="96"/>
      <c r="Q9" s="96"/>
      <c r="R9" s="96"/>
      <c r="S9" s="96"/>
      <c r="T9" s="96"/>
      <c r="U9" s="96"/>
      <c r="V9" s="96"/>
      <c r="W9" s="96"/>
      <c r="X9" s="55"/>
      <c r="Y9" s="96"/>
      <c r="Z9" s="55"/>
      <c r="AA9" s="55"/>
    </row>
    <row r="10" spans="1:28" x14ac:dyDescent="0.35">
      <c r="A10" s="76"/>
      <c r="B10" s="62" t="s">
        <v>67</v>
      </c>
      <c r="C10" s="62"/>
      <c r="D10" s="62" t="s">
        <v>67</v>
      </c>
      <c r="E10" s="62"/>
      <c r="F10" s="62" t="s">
        <v>67</v>
      </c>
      <c r="G10" s="62"/>
      <c r="H10" s="62" t="s">
        <v>67</v>
      </c>
      <c r="I10" s="62"/>
      <c r="J10" s="62">
        <v>0</v>
      </c>
      <c r="K10" s="62"/>
      <c r="L10" s="67">
        <f>L6*EXP(-'Forward Rates'!F4*A2*2)</f>
        <v>0.50499415394654701</v>
      </c>
      <c r="M10" s="79"/>
      <c r="O10" s="96"/>
      <c r="P10" s="96"/>
      <c r="Q10" s="96"/>
      <c r="R10" s="96"/>
      <c r="S10" s="96"/>
      <c r="T10" s="96"/>
      <c r="U10" s="96"/>
      <c r="V10" s="96"/>
      <c r="W10" s="96"/>
      <c r="X10" s="55"/>
      <c r="Y10" s="96"/>
      <c r="Z10" s="55"/>
      <c r="AA10" s="55"/>
    </row>
    <row r="11" spans="1:28" x14ac:dyDescent="0.35">
      <c r="A11" s="76"/>
      <c r="B11" s="62" t="s">
        <v>67</v>
      </c>
      <c r="C11" s="62"/>
      <c r="D11" s="62" t="s">
        <v>67</v>
      </c>
      <c r="E11" s="62"/>
      <c r="F11" s="62" t="s">
        <v>67</v>
      </c>
      <c r="G11" s="62"/>
      <c r="H11" s="62" t="s">
        <v>67</v>
      </c>
      <c r="I11" s="62"/>
      <c r="J11" s="62" t="s">
        <v>67</v>
      </c>
      <c r="K11" s="62"/>
      <c r="L11" s="67">
        <f>L6*EXP(-'Forward Rates'!G3*A2)</f>
        <v>0.60732112426224627</v>
      </c>
      <c r="M11" s="62"/>
      <c r="O11" s="96"/>
      <c r="P11" s="96"/>
      <c r="Q11" s="96"/>
      <c r="R11" s="96"/>
      <c r="S11" s="96"/>
      <c r="T11" s="96"/>
      <c r="U11" s="96"/>
      <c r="V11" s="55"/>
      <c r="W11" s="96"/>
      <c r="X11" s="55"/>
      <c r="Y11" s="96"/>
      <c r="Z11" s="55"/>
      <c r="AA11" s="55"/>
    </row>
    <row r="12" spans="1:28" x14ac:dyDescent="0.35">
      <c r="A12" s="77" t="s">
        <v>68</v>
      </c>
      <c r="B12" s="87">
        <f>SUM(D7:L7)</f>
        <v>1.4704302080064791</v>
      </c>
      <c r="C12" s="79"/>
      <c r="D12" s="79">
        <f>IF(D6&lt;&gt;0,SUM(F8:L8),0)</f>
        <v>0</v>
      </c>
      <c r="E12" s="79"/>
      <c r="F12" s="79">
        <f>IF(F6&lt;&gt;0,SUM(H9:L9),0)</f>
        <v>0.40647917033969683</v>
      </c>
      <c r="G12" s="79"/>
      <c r="H12" s="79">
        <f>IF(H6&lt;&gt;0,SUM(J10:L10),0)</f>
        <v>0</v>
      </c>
      <c r="I12" s="79"/>
      <c r="J12" s="79">
        <f>IF(J6&lt;&gt;0,SUM(L11),0)</f>
        <v>0</v>
      </c>
      <c r="K12" s="79"/>
      <c r="L12" s="67" t="s">
        <v>67</v>
      </c>
      <c r="M12" s="62"/>
      <c r="O12" s="96"/>
      <c r="P12" s="96"/>
      <c r="Q12" s="96"/>
      <c r="R12" s="96"/>
      <c r="S12" s="96"/>
      <c r="T12" s="96"/>
      <c r="U12" s="96"/>
      <c r="V12" s="55"/>
      <c r="W12" s="96"/>
      <c r="X12" s="96"/>
      <c r="Y12" s="96"/>
      <c r="Z12" s="55"/>
      <c r="AA12" s="55"/>
    </row>
    <row r="13" spans="1:28" x14ac:dyDescent="0.35">
      <c r="A13" s="86" t="s">
        <v>1</v>
      </c>
      <c r="B13" s="88"/>
      <c r="C13" s="88"/>
      <c r="D13" s="88">
        <f>(B33+B31)/(EXP(-'Forward Rates'!C3/100*A2)*B31-B33)</f>
        <v>1.0425046806301845</v>
      </c>
      <c r="E13" s="88"/>
      <c r="F13" s="88"/>
      <c r="G13" s="88"/>
      <c r="H13" s="88">
        <f>(F33+F31)/(EXP(-'Forward Rates'!C4/100*2*A2)*F31-F33)</f>
        <v>1.0442974119964374</v>
      </c>
      <c r="I13" s="88"/>
      <c r="J13" s="88"/>
      <c r="K13" s="88"/>
      <c r="L13" s="88">
        <f>(J33+J31)/(EXP(-'Forward Rates'!C7/100*5*A2)*J31-J33)</f>
        <v>1.0505726530467236</v>
      </c>
      <c r="O13" s="121" t="s">
        <v>965</v>
      </c>
      <c r="P13" s="122"/>
      <c r="Q13" s="122"/>
      <c r="R13" s="122"/>
      <c r="S13" s="122"/>
      <c r="T13" s="52"/>
      <c r="U13" s="109"/>
      <c r="V13" s="52"/>
      <c r="W13" s="109"/>
      <c r="X13" s="52"/>
      <c r="Y13" s="109"/>
      <c r="Z13" s="52"/>
      <c r="AA13" s="53"/>
    </row>
    <row r="14" spans="1:28" ht="17" customHeight="1" thickBot="1" x14ac:dyDescent="0.4">
      <c r="O14" s="95"/>
      <c r="P14" s="96"/>
      <c r="Q14" s="96"/>
      <c r="R14" s="96"/>
      <c r="S14" s="96"/>
      <c r="T14" s="55"/>
      <c r="U14" s="96"/>
      <c r="V14" s="96"/>
      <c r="W14" s="96"/>
      <c r="X14" s="55"/>
      <c r="Y14" s="96"/>
      <c r="Z14" s="55"/>
      <c r="AA14" s="56"/>
    </row>
    <row r="15" spans="1:28" ht="17" customHeight="1" thickBot="1" x14ac:dyDescent="0.4">
      <c r="A15" s="123"/>
      <c r="B15" s="124"/>
      <c r="C15" s="124"/>
      <c r="D15" s="124"/>
      <c r="E15" s="3"/>
      <c r="F15" s="3"/>
      <c r="G15" s="3"/>
      <c r="H15" s="3"/>
      <c r="I15" s="3"/>
      <c r="J15" s="3"/>
      <c r="K15" s="3"/>
      <c r="L15" s="105">
        <f>(J21*L22+J19*(EXP(-5*A2*'Forward Rates'!C7/100)*L22-J19))/(J21+EXP(-5*A2*'Forward Rates'!C7/100)*L22-J19)</f>
        <v>202.19635222447951</v>
      </c>
      <c r="M15" s="4"/>
      <c r="O15" s="84"/>
      <c r="P15" s="6"/>
      <c r="Q15" s="6"/>
      <c r="R15" s="6"/>
      <c r="S15" s="6"/>
      <c r="T15" s="6"/>
      <c r="U15" s="6"/>
      <c r="V15" s="6"/>
      <c r="W15" s="6"/>
      <c r="X15" s="6"/>
      <c r="Y15" s="6"/>
      <c r="Z15" s="106">
        <f>priceint(1,Z3,L16,2/12,'Aug Options'!I4:I28,'Oct Options'!I4:I76)</f>
        <v>1.4028928652617043</v>
      </c>
      <c r="AA15" s="56"/>
    </row>
    <row r="16" spans="1:28" ht="15" thickBot="1" x14ac:dyDescent="0.4">
      <c r="A16" s="125" t="s">
        <v>964</v>
      </c>
      <c r="B16" s="126"/>
      <c r="C16" s="126"/>
      <c r="D16" s="6"/>
      <c r="E16" s="6"/>
      <c r="F16" s="6"/>
      <c r="G16" s="6"/>
      <c r="H16" s="6"/>
      <c r="I16" s="6"/>
      <c r="J16" s="6"/>
      <c r="K16" s="6"/>
      <c r="L16" s="11">
        <f>L22*J19/J25</f>
        <v>224.33549871732077</v>
      </c>
      <c r="M16" s="7"/>
      <c r="O16" s="5"/>
      <c r="P16" s="6"/>
      <c r="Q16" s="6"/>
      <c r="R16" s="6"/>
      <c r="S16" s="6"/>
      <c r="T16" s="6"/>
      <c r="U16" s="6"/>
      <c r="V16" s="6"/>
      <c r="W16" s="6"/>
      <c r="X16" s="6"/>
      <c r="Y16" s="6"/>
      <c r="Z16" s="107" t="s">
        <v>67</v>
      </c>
      <c r="AA16" s="56"/>
    </row>
    <row r="17" spans="1:27" ht="15" thickBot="1" x14ac:dyDescent="0.4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12">
        <f>EXP(-'Forward Rates'!C7/100*5*A2)*J22*J20</f>
        <v>2.3348987757706417E-2</v>
      </c>
      <c r="M17" s="7"/>
      <c r="O17" s="5"/>
      <c r="P17" s="6"/>
      <c r="Q17" s="6"/>
      <c r="R17" s="6"/>
      <c r="S17" s="6"/>
      <c r="T17" s="6"/>
      <c r="U17" s="6"/>
      <c r="V17" s="6"/>
      <c r="W17" s="6"/>
      <c r="X17" s="11">
        <f>priceint(1,X3,J19,2/12,'July Options'!I4:I76,'Sep Options'!I4:I40)</f>
        <v>1.7264235198440909</v>
      </c>
      <c r="Y17" s="6"/>
      <c r="Z17" s="108" t="s">
        <v>67</v>
      </c>
      <c r="AA17" s="56"/>
    </row>
    <row r="18" spans="1:27" ht="15" thickBot="1" x14ac:dyDescent="0.4">
      <c r="A18" s="5"/>
      <c r="B18" s="6"/>
      <c r="C18" s="6"/>
      <c r="D18" s="6"/>
      <c r="E18" s="6"/>
      <c r="F18" s="6"/>
      <c r="G18" s="6"/>
      <c r="H18" s="6"/>
      <c r="I18" s="6"/>
      <c r="J18" s="101">
        <f>(H24*J25+H22*(EXP(-4*A2*'Forward Rates'!C6/100)*J25-H22))/(H24+EXP(-4*A2*'Forward Rates'!C6/100)*J25-H22)</f>
        <v>184.25398735746097</v>
      </c>
      <c r="K18" s="6"/>
      <c r="L18" s="12">
        <f>Z15/L17</f>
        <v>60.083669571443181</v>
      </c>
      <c r="M18" s="7"/>
      <c r="O18" s="5"/>
      <c r="P18" s="6"/>
      <c r="Q18" s="6"/>
      <c r="R18" s="6"/>
      <c r="S18" s="6"/>
      <c r="T18" s="6"/>
      <c r="U18" s="6"/>
      <c r="V18" s="6"/>
      <c r="W18" s="6"/>
      <c r="X18" s="12" t="s">
        <v>67</v>
      </c>
      <c r="Y18" s="6"/>
      <c r="Z18" s="55"/>
      <c r="AA18" s="56"/>
    </row>
    <row r="19" spans="1:27" ht="15" thickBot="1" x14ac:dyDescent="0.4">
      <c r="A19" s="127" t="s">
        <v>966</v>
      </c>
      <c r="B19" s="6"/>
      <c r="C19" s="6"/>
      <c r="D19" s="6"/>
      <c r="E19" s="6"/>
      <c r="F19" s="6"/>
      <c r="G19" s="6"/>
      <c r="H19" s="6"/>
      <c r="I19" s="6"/>
      <c r="J19" s="11">
        <f>J25*H22/H28</f>
        <v>213.53639661829612</v>
      </c>
      <c r="K19" s="6"/>
      <c r="L19" s="13" t="s">
        <v>67</v>
      </c>
      <c r="M19" s="7"/>
      <c r="O19" s="5"/>
      <c r="P19" s="6"/>
      <c r="Q19" s="6"/>
      <c r="R19" s="6"/>
      <c r="S19" s="6"/>
      <c r="T19" s="6"/>
      <c r="U19" s="6"/>
      <c r="V19" s="11">
        <f>priceint(1,V3,H22,2/12,'June Options'!I4:I41,'Aug Options'!I4:I28)</f>
        <v>1.8698792629677214</v>
      </c>
      <c r="W19" s="6"/>
      <c r="X19" s="13" t="s">
        <v>67</v>
      </c>
      <c r="Y19" s="6"/>
      <c r="Z19" s="106">
        <f>priceint(1,Z3,L22,2/12,'Aug Options'!I4:I28,'Oct Options'!I4:I76)</f>
        <v>3.457454163602474</v>
      </c>
      <c r="AA19" s="56"/>
    </row>
    <row r="20" spans="1:27" ht="15" thickBot="1" x14ac:dyDescent="0.4">
      <c r="A20" s="5"/>
      <c r="B20" s="6"/>
      <c r="C20" s="6"/>
      <c r="D20" s="6"/>
      <c r="E20" s="96"/>
      <c r="F20" s="96"/>
      <c r="G20" s="96"/>
      <c r="I20" s="96"/>
      <c r="J20" s="12">
        <f>EXP(-'Forward Rates'!C6/100*4*A2)*H25*H23</f>
        <v>5.2799392719820017E-2</v>
      </c>
      <c r="K20" s="6"/>
      <c r="L20" s="6"/>
      <c r="M20" s="7"/>
      <c r="O20" s="5"/>
      <c r="P20" s="6"/>
      <c r="Q20" s="6"/>
      <c r="R20" s="6"/>
      <c r="S20" s="6"/>
      <c r="T20" s="6"/>
      <c r="U20" s="6"/>
      <c r="V20" s="12" t="s">
        <v>67</v>
      </c>
      <c r="W20" s="6"/>
      <c r="X20" s="6"/>
      <c r="Y20" s="6"/>
      <c r="Z20" s="107">
        <f>L17*(L16-L22*EXP(-A2*'Forward Rates'!C7/100*5))</f>
        <v>0.48203304628593779</v>
      </c>
      <c r="AA20" s="56"/>
    </row>
    <row r="21" spans="1:27" ht="15" thickBot="1" x14ac:dyDescent="0.4">
      <c r="A21" s="5"/>
      <c r="B21" s="6"/>
      <c r="C21" s="6"/>
      <c r="D21" s="6"/>
      <c r="E21" s="96"/>
      <c r="F21" s="96"/>
      <c r="G21" s="96"/>
      <c r="H21" s="102">
        <f>(F27*H28+(H28*EXP(-3*A2*'Forward Rates'!C5/100)-F25)*F25)/(F27+EXP(-3*A2*'Forward Rates'!C5/100)*H28-F25)</f>
        <v>167.92098204974835</v>
      </c>
      <c r="I21" s="96"/>
      <c r="J21" s="12">
        <f>X17/J20</f>
        <v>32.697791222814956</v>
      </c>
      <c r="K21" s="6"/>
      <c r="L21" s="101">
        <f>(J27*L28+J25*(EXP(-5*A2*'Forward Rates'!C7/100)*L28-J25))/(J27+EXP(-5*A2*'Forward Rates'!C7/100)*L28-J25)</f>
        <v>179.79250237212099</v>
      </c>
      <c r="M21" s="7"/>
      <c r="O21" s="5"/>
      <c r="P21" s="6"/>
      <c r="Q21" s="6"/>
      <c r="R21" s="6"/>
      <c r="S21" s="6"/>
      <c r="T21" s="11">
        <f>priceint(1,T3,F25,2/12,'May Options'!I4:I25,'July Options'!I4:I76)</f>
        <v>2.9352509473736217</v>
      </c>
      <c r="U21" s="6"/>
      <c r="V21" s="13" t="s">
        <v>67</v>
      </c>
      <c r="W21" s="6"/>
      <c r="X21" s="11">
        <f>priceint(1,X3,J25,2/12,'July Options'!I4:I76,'Sep Options'!I4:I40)</f>
        <v>5.0142093667275311</v>
      </c>
      <c r="Y21" s="6"/>
      <c r="Z21" s="108">
        <f>L17*MAX((L16-L22*EXP(-A2*'Forward Rates'!C7/100*5)),L16-L22)</f>
        <v>0.48203304628593779</v>
      </c>
      <c r="AA21" s="56"/>
    </row>
    <row r="22" spans="1:27" ht="15" thickBot="1" x14ac:dyDescent="0.4">
      <c r="A22" s="5"/>
      <c r="B22" s="6"/>
      <c r="C22" s="6"/>
      <c r="D22" s="6"/>
      <c r="E22" s="96"/>
      <c r="F22" s="96"/>
      <c r="G22" s="96"/>
      <c r="H22" s="41">
        <f>H28*F25/F31</f>
        <v>204.57890506959899</v>
      </c>
      <c r="I22" s="96"/>
      <c r="J22" s="13">
        <f>(EXP(A2*'Forward Rates'!G7/100)*J19-L22)/(L16-L22)</f>
        <v>0.4463894936054047</v>
      </c>
      <c r="K22" s="6"/>
      <c r="L22" s="11">
        <f>L28*J25/J31</f>
        <v>205.6109441470837</v>
      </c>
      <c r="M22" s="7"/>
      <c r="O22" s="5"/>
      <c r="P22" s="6"/>
      <c r="Q22" s="6"/>
      <c r="R22" s="6"/>
      <c r="S22" s="6"/>
      <c r="T22" s="12" t="s">
        <v>67</v>
      </c>
      <c r="U22" s="6"/>
      <c r="V22" s="6"/>
      <c r="W22" s="6"/>
      <c r="X22" s="12">
        <f>J20*(J19-J25*EXP(-A2*'Forward Rates'!C6/100*4))</f>
        <v>1.0169582024492696</v>
      </c>
      <c r="Y22" s="6"/>
      <c r="Z22" s="55"/>
      <c r="AA22" s="56"/>
    </row>
    <row r="23" spans="1:27" ht="15" thickBot="1" x14ac:dyDescent="0.4">
      <c r="A23" s="5"/>
      <c r="B23" s="6"/>
      <c r="C23" s="6"/>
      <c r="D23" s="6"/>
      <c r="E23" s="96"/>
      <c r="F23" s="96"/>
      <c r="G23" s="96"/>
      <c r="H23" s="57">
        <f>EXP(-'Forward Rates'!C5/100*3*A2)*F28*F26</f>
        <v>0.10232068075562227</v>
      </c>
      <c r="I23" s="96"/>
      <c r="J23" s="6"/>
      <c r="K23" s="6"/>
      <c r="L23" s="12">
        <f>EXP(-'Forward Rates'!C7/100*5*A2)*(J28*J26+(1-J22)*J20)</f>
        <v>0.14314722141968286</v>
      </c>
      <c r="M23" s="7"/>
      <c r="O23" s="5"/>
      <c r="P23" s="6"/>
      <c r="Q23" s="6"/>
      <c r="R23" s="11">
        <f>priceint(1,R3,D28,2/12,'April Options'!I4:I72,'June Options'!I4:I41)</f>
        <v>4.1279296563893109</v>
      </c>
      <c r="S23" s="6"/>
      <c r="T23" s="13" t="s">
        <v>67</v>
      </c>
      <c r="U23" s="6"/>
      <c r="V23" s="11">
        <f>priceint(1,V3,H28,2/12,'June Options'!I4:I41,'Aug Options'!I4:I28)</f>
        <v>6.7049445355723671</v>
      </c>
      <c r="W23" s="6"/>
      <c r="X23" s="13">
        <f>J20*MAX((J19-J25*EXP(-A2*'Forward Rates'!C6/100*4)),J19-J25)</f>
        <v>1.0169582024492696</v>
      </c>
      <c r="Y23" s="6"/>
      <c r="Z23" s="106">
        <f>priceint(1,Z3,L28,2/12,'Aug Options'!I4:I28,'Oct Options'!I4:I76)</f>
        <v>8.4673694451085844</v>
      </c>
      <c r="AA23" s="56"/>
    </row>
    <row r="24" spans="1:27" ht="15" thickBot="1" x14ac:dyDescent="0.4">
      <c r="A24" s="5"/>
      <c r="B24" s="6"/>
      <c r="C24" s="6"/>
      <c r="D24" s="6"/>
      <c r="E24" s="96"/>
      <c r="F24" s="102">
        <f>((D30*F31+D28*((EXP(-2*A2*'Forward Rates'!C4/100)*F31)-D28))/(D30+EXP(-2*A2*'Forward Rates'!C4/100)*F31-D28))+F12</f>
        <v>117.02997110047735</v>
      </c>
      <c r="G24" s="96"/>
      <c r="H24" s="57">
        <f>V19/H23</f>
        <v>18.27469529286704</v>
      </c>
      <c r="I24" s="96"/>
      <c r="J24" s="101">
        <f>(H30*J31+H28*(EXP(-4*A2*'Forward Rates'!C6/100)*J31-H28))/(H30+EXP(-4*A2*'Forward Rates'!C6/100)*J31-H28)</f>
        <v>147.7145010496223</v>
      </c>
      <c r="K24" s="6"/>
      <c r="L24" s="12">
        <f>fPGRoup7(Z19,Z20,Z21,L23)</f>
        <v>20.785741335440363</v>
      </c>
      <c r="M24" s="7"/>
      <c r="O24" s="5"/>
      <c r="P24" s="6"/>
      <c r="Q24" s="6"/>
      <c r="R24" s="12" t="s">
        <v>67</v>
      </c>
      <c r="S24" s="6"/>
      <c r="T24" s="6"/>
      <c r="U24" s="6"/>
      <c r="V24" s="12">
        <f>H23*(H22-H28*EXP(-A2*'Forward Rates'!C5/100*3))</f>
        <v>1.8510614132884997</v>
      </c>
      <c r="W24" s="6"/>
      <c r="X24" s="6"/>
      <c r="Y24" s="6"/>
      <c r="Z24" s="107">
        <f>L23*(L22-L28*EXP(-A2*'Forward Rates'!C7/100*5))</f>
        <v>2.6426038969339349</v>
      </c>
      <c r="AA24" s="56"/>
    </row>
    <row r="25" spans="1:27" ht="15" thickBot="1" x14ac:dyDescent="0.4">
      <c r="A25" s="5"/>
      <c r="B25" s="6"/>
      <c r="C25" s="6"/>
      <c r="D25" s="6"/>
      <c r="E25" s="96"/>
      <c r="F25" s="41">
        <f>F31*D28/D34+F12</f>
        <v>195.90099785701364</v>
      </c>
      <c r="G25" s="96"/>
      <c r="H25" s="58">
        <f>(EXP(A2*'Forward Rates'!F6/100)*H22-J25)/(J19-J25)</f>
        <v>0.51983722588968662</v>
      </c>
      <c r="I25" s="96"/>
      <c r="J25" s="11">
        <f>J31*H28/H34</f>
        <v>195.71320798309347</v>
      </c>
      <c r="K25" s="6"/>
      <c r="L25" s="13" t="s">
        <v>67</v>
      </c>
      <c r="M25" s="7"/>
      <c r="O25" s="5" t="s">
        <v>961</v>
      </c>
      <c r="P25" s="11">
        <f>priceint(-1,P3,B31,2/12,'March Options'!I4:I95,'May Options'!I4:I25)</f>
        <v>3.5482414583296928</v>
      </c>
      <c r="Q25" s="6"/>
      <c r="R25" s="13" t="s">
        <v>67</v>
      </c>
      <c r="S25" s="6"/>
      <c r="T25" s="11">
        <f>priceint(1,T3,F31,2/12,'May Options'!I4:I25,'July Options'!I4:I76)</f>
        <v>9.0430007698109929</v>
      </c>
      <c r="U25" s="6"/>
      <c r="V25" s="13">
        <f>H23*MAX((H22-H28*EXP(-A2*'Forward Rates'!C5/100*3)),H22-H28)</f>
        <v>1.8510614132884997</v>
      </c>
      <c r="W25" s="6"/>
      <c r="X25" s="11">
        <f>priceint(1,X3,J31,2/12,'July Options'!I4:I76,'Sep Options'!I4:I40)</f>
        <v>11.361709788771236</v>
      </c>
      <c r="Y25" s="6"/>
      <c r="Z25" s="108">
        <f>L23*MAX((L22-L28*EXP(-A2*'Forward Rates'!C7/100*5)),L22-L28)</f>
        <v>2.6426038969339349</v>
      </c>
      <c r="AA25" s="56"/>
    </row>
    <row r="26" spans="1:27" ht="15" thickBot="1" x14ac:dyDescent="0.4">
      <c r="A26" s="5"/>
      <c r="B26" s="6"/>
      <c r="C26" s="6"/>
      <c r="D26" s="6"/>
      <c r="E26" s="96"/>
      <c r="F26" s="57">
        <f>EXP(-'Forward Rates'!C4/100*2*A2)*D31*D29</f>
        <v>0.21824309034107436</v>
      </c>
      <c r="G26" s="96"/>
      <c r="H26" s="96"/>
      <c r="I26" s="96"/>
      <c r="J26" s="12">
        <f>EXP(-'Forward Rates'!C6/100*4*A2)*(H31*H29+(1-H25)*H23)</f>
        <v>0.26746045568093124</v>
      </c>
      <c r="K26" s="6"/>
      <c r="L26" s="6"/>
      <c r="M26" s="7"/>
      <c r="O26" s="5" t="s">
        <v>959</v>
      </c>
      <c r="P26" s="12" t="s">
        <v>67</v>
      </c>
      <c r="Q26" s="6"/>
      <c r="R26" s="6"/>
      <c r="S26" s="6"/>
      <c r="T26" s="12">
        <f>F26*(F25-F31*EXP(-A2*'Forward Rates'!C4/100*2))</f>
        <v>3.7093489401180344</v>
      </c>
      <c r="U26" s="6"/>
      <c r="V26" s="6"/>
      <c r="W26" s="6"/>
      <c r="X26" s="12" t="s">
        <v>67</v>
      </c>
      <c r="Y26" s="6"/>
      <c r="Z26" s="55"/>
      <c r="AA26" s="56"/>
    </row>
    <row r="27" spans="1:27" ht="15" thickBot="1" x14ac:dyDescent="0.4">
      <c r="A27" s="5"/>
      <c r="B27" s="6"/>
      <c r="C27" s="6"/>
      <c r="D27" s="6"/>
      <c r="E27" s="96"/>
      <c r="F27" s="57">
        <f>T21/F26</f>
        <v>13.449456488113126</v>
      </c>
      <c r="G27" s="96"/>
      <c r="H27" s="96"/>
      <c r="I27" s="96"/>
      <c r="J27" s="57">
        <f>fPGRoup7(X21,X22,X23,J26)</f>
        <v>14.94520434470062</v>
      </c>
      <c r="K27" s="6"/>
      <c r="L27" s="6"/>
      <c r="M27" s="7"/>
      <c r="O27" s="5" t="s">
        <v>960</v>
      </c>
      <c r="P27" s="13" t="s">
        <v>67</v>
      </c>
      <c r="Q27" s="6"/>
      <c r="R27" s="11">
        <f>priceint(-1,R3,D34,2/12,'April Options'!I4:I72,'June Options'!I4:I41)</f>
        <v>3.2809444595861046</v>
      </c>
      <c r="S27" s="6"/>
      <c r="T27" s="13">
        <f>F26*MAX((F25-F31*EXP(-A2*'Forward Rates'!C4/100*2)),F25-F31)</f>
        <v>3.7093489401180344</v>
      </c>
      <c r="U27" s="6"/>
      <c r="V27" s="11">
        <f>priceint(-1,V3,H34,2/12,'June Options'!I4:I41,'Aug Options'!I4:I28)</f>
        <v>6.5073175457004151</v>
      </c>
      <c r="W27" s="6"/>
      <c r="X27" s="13" t="s">
        <v>67</v>
      </c>
      <c r="Y27" s="6"/>
      <c r="Z27" s="106">
        <f>priceint(-1,Z3,L34,2/12,'Aug Options'!I4:I28,'Oct Options'!I4:I76)</f>
        <v>8.1992863006331635</v>
      </c>
      <c r="AA27" s="56"/>
    </row>
    <row r="28" spans="1:27" ht="15" thickBot="1" x14ac:dyDescent="0.4">
      <c r="A28" s="5"/>
      <c r="B28" s="6"/>
      <c r="C28" s="6"/>
      <c r="D28" s="118">
        <f>B31*D13</f>
        <v>186.08663699862754</v>
      </c>
      <c r="E28" s="96"/>
      <c r="F28" s="58">
        <f>(EXP(A2*'Forward Rates'!E5/100)*F25-H28-F6)/(H22-H28)</f>
        <v>0.47139049624211038</v>
      </c>
      <c r="G28" s="96"/>
      <c r="H28" s="41">
        <f>F31*H13</f>
        <v>187.50336912545512</v>
      </c>
      <c r="I28" s="96"/>
      <c r="J28" s="13">
        <f>(EXP(A2*'Forward Rates'!G7/100)*J25-L28)/(L22-L28)</f>
        <v>0.43096593078169942</v>
      </c>
      <c r="K28" s="6"/>
      <c r="L28" s="11">
        <f>J31*L13</f>
        <v>188.91443132378885</v>
      </c>
      <c r="M28" s="7"/>
      <c r="O28" s="5"/>
      <c r="P28" s="6"/>
      <c r="Q28" s="6"/>
      <c r="R28" s="12" t="s">
        <v>67</v>
      </c>
      <c r="S28" s="6"/>
      <c r="T28" s="6"/>
      <c r="U28" s="6"/>
      <c r="V28" s="12">
        <f>H41*(H34*EXP(-A2*'Forward Rates'!C5/100*3)-H40)</f>
        <v>3.4450067533856723</v>
      </c>
      <c r="W28" s="6"/>
      <c r="X28" s="6"/>
      <c r="Y28" s="6"/>
      <c r="Z28" s="107">
        <f>L41*(L34*EXP(-A2*'Forward Rates'!C7/100*5)-L40)</f>
        <v>1.0976878073111036</v>
      </c>
      <c r="AA28" s="56"/>
    </row>
    <row r="29" spans="1:27" ht="15" thickBot="1" x14ac:dyDescent="0.4">
      <c r="A29" s="5"/>
      <c r="B29" s="6"/>
      <c r="C29" s="6"/>
      <c r="D29" s="119">
        <f>EXP(-'Forward Rates'!C3/100*A2)*B34</f>
        <v>0.52066886167792559</v>
      </c>
      <c r="E29" s="96"/>
      <c r="F29" s="96"/>
      <c r="G29" s="96"/>
      <c r="H29" s="57">
        <f>EXP(-'Forward Rates'!C5/100*3*A2)*((1-F28)*F26+F34*F32)</f>
        <v>0.43499796866507617</v>
      </c>
      <c r="I29" s="96"/>
      <c r="J29" s="6"/>
      <c r="K29" s="6"/>
      <c r="L29" s="12">
        <f>EXP(-'Forward Rates'!C7/100*5*A2)*(J34*J32+(1-J28)*J26)</f>
        <v>0.35299322651746312</v>
      </c>
      <c r="M29" s="7"/>
      <c r="O29" s="5"/>
      <c r="P29" s="6"/>
      <c r="Q29" s="6"/>
      <c r="R29" s="13" t="s">
        <v>67</v>
      </c>
      <c r="S29" s="6"/>
      <c r="T29" s="11">
        <f>priceint(-1,T3,F37,2/12,'May Options'!I4:I25,'July Options'!I4:I76)</f>
        <v>0.13810369596901645</v>
      </c>
      <c r="U29" s="6"/>
      <c r="V29" s="13">
        <f>H41*MAX((H34*EXP(-A2*'Forward Rates'!C5/100*3)-H40),H34-H40)</f>
        <v>3.5033415453783676</v>
      </c>
      <c r="W29" s="6"/>
      <c r="X29" s="11">
        <f>priceint(-1,X3,J37,2/12,'July Options'!I4:I76,'Sep Options'!I4:I40)</f>
        <v>5.1654678120890907</v>
      </c>
      <c r="Y29" s="6"/>
      <c r="Z29" s="108">
        <f>L41*MAX((L34*EXP(-A2*'Forward Rates'!C7/100*5)-L40),L34-L40)</f>
        <v>1.2403298198498121</v>
      </c>
      <c r="AA29" s="56"/>
    </row>
    <row r="30" spans="1:27" ht="15" thickBot="1" x14ac:dyDescent="0.4">
      <c r="A30" s="5"/>
      <c r="B30" s="6"/>
      <c r="C30" s="6"/>
      <c r="D30" s="119">
        <f>R23/D29</f>
        <v>7.9281285289204755</v>
      </c>
      <c r="E30" s="96"/>
      <c r="F30" s="96"/>
      <c r="G30" s="96"/>
      <c r="H30" s="57">
        <f>fPGRoup7(V23,V24,V25,H29)</f>
        <v>11.158404112045597</v>
      </c>
      <c r="I30" s="96"/>
      <c r="J30" s="6"/>
      <c r="K30" s="6"/>
      <c r="L30" s="12">
        <f>fPGRoup7(Z23,Z24,Z25,L29)</f>
        <v>16.501068889168867</v>
      </c>
      <c r="M30" s="7"/>
      <c r="O30" s="5"/>
      <c r="P30" s="6"/>
      <c r="Q30" s="6"/>
      <c r="R30" s="6"/>
      <c r="S30" s="6"/>
      <c r="T30" s="12" t="s">
        <v>67</v>
      </c>
      <c r="U30" s="6"/>
      <c r="V30" s="6"/>
      <c r="W30" s="6"/>
      <c r="X30" s="12">
        <f>J44*(J37*EXP(-A2*'Forward Rates'!C6/100*4)-J43)</f>
        <v>2.9555643504617413</v>
      </c>
      <c r="Y30" s="6"/>
      <c r="Z30" s="55"/>
      <c r="AA30" s="56"/>
    </row>
    <row r="31" spans="1:27" ht="15" thickBot="1" x14ac:dyDescent="0.4">
      <c r="A31" s="36" t="s">
        <v>938</v>
      </c>
      <c r="B31" s="118">
        <f>179.97-B12</f>
        <v>178.49956979199351</v>
      </c>
      <c r="C31" s="6"/>
      <c r="D31" s="120">
        <f>(EXP(A2*'Forward Rates'!D4/100)*D28-F31)/(F25-F31)</f>
        <v>0.42067072691794066</v>
      </c>
      <c r="E31" s="96"/>
      <c r="F31" s="41">
        <f>B31*EXP(2*A2*'Forward Rates'!C4/100)+F12</f>
        <v>179.54977860856249</v>
      </c>
      <c r="G31" s="96"/>
      <c r="H31" s="58">
        <f>(EXP(A2*'Forward Rates'!F6/100)*H28-J31)/(J25-J31)</f>
        <v>0.50645991345332309</v>
      </c>
      <c r="I31" s="96"/>
      <c r="J31" s="11">
        <f>B31*EXP(4*A2*'Forward Rates'!C6/100)</f>
        <v>179.82043486085962</v>
      </c>
      <c r="K31" s="6"/>
      <c r="L31" s="13" t="s">
        <v>67</v>
      </c>
      <c r="M31" s="7"/>
      <c r="O31" s="5"/>
      <c r="P31" s="6"/>
      <c r="Q31" s="6"/>
      <c r="R31" s="6"/>
      <c r="S31" s="6"/>
      <c r="T31" s="13" t="s">
        <v>67</v>
      </c>
      <c r="U31" s="6"/>
      <c r="V31" s="11">
        <f>priceint(-1,$V$3,H40,2/12,'June Options'!I4:I41,'Aug Options'!I4:I28)</f>
        <v>0.20883929087366901</v>
      </c>
      <c r="W31" s="6"/>
      <c r="X31" s="13">
        <f>J44*MAX((J37*EXP(-A2*'Forward Rates'!C6/100*4)-J43),J37-J43)</f>
        <v>3.0253080008684279</v>
      </c>
      <c r="Y31" s="6"/>
      <c r="Z31" s="106">
        <f>priceint(-1,Z3,L40,2/12,'Aug Options'!I4:I28,'Oct Options'!I4:I76)</f>
        <v>4.2175998537515849</v>
      </c>
      <c r="AA31" s="56"/>
    </row>
    <row r="32" spans="1:27" ht="15" thickBot="1" x14ac:dyDescent="0.4">
      <c r="A32" s="36" t="s">
        <v>521</v>
      </c>
      <c r="B32" s="119">
        <v>1</v>
      </c>
      <c r="C32" s="6"/>
      <c r="D32" s="6"/>
      <c r="E32" s="96"/>
      <c r="F32" s="57">
        <f>EXP(-'Forward Rates'!C4/100*2*A2)*((1-D31)*D29+D37*D35)</f>
        <v>0.71143576148831178</v>
      </c>
      <c r="G32" s="96"/>
      <c r="H32" s="96"/>
      <c r="I32" s="96"/>
      <c r="J32" s="12">
        <f>EXP(-4*'Forward Rates'!C6/100*A2)*((1-H31)*H29+H37*H35)</f>
        <v>0.40956168426199502</v>
      </c>
      <c r="K32" s="6"/>
      <c r="L32" s="6"/>
      <c r="M32" s="7"/>
      <c r="O32" s="5"/>
      <c r="P32" s="6"/>
      <c r="Q32" s="6"/>
      <c r="R32" s="6"/>
      <c r="S32" s="6"/>
      <c r="T32" s="6"/>
      <c r="U32" s="6"/>
      <c r="V32" s="12" t="s">
        <v>67</v>
      </c>
      <c r="W32" s="6"/>
      <c r="X32" s="6"/>
      <c r="Y32" s="6"/>
      <c r="Z32" s="107">
        <f>L47*(L40*EXP(-A2*'Forward Rates'!C7/100*5)-L46)</f>
        <v>2.4744274084473799</v>
      </c>
      <c r="AA32" s="56"/>
    </row>
    <row r="33" spans="1:27" ht="15" thickBot="1" x14ac:dyDescent="0.4">
      <c r="A33" s="36" t="s">
        <v>939</v>
      </c>
      <c r="B33" s="119">
        <f>P25/B32</f>
        <v>3.5482414583296928</v>
      </c>
      <c r="C33" s="6"/>
      <c r="D33" s="6"/>
      <c r="E33" s="96"/>
      <c r="F33" s="57">
        <f>B33*EXP(2*A2*'Forward Rates'!C4/100)</f>
        <v>3.5610376136446233</v>
      </c>
      <c r="G33" s="96"/>
      <c r="H33" s="96"/>
      <c r="I33" s="96"/>
      <c r="J33" s="12">
        <f>B33*EXP(4*A2*'Forward Rates'!C6/100)</f>
        <v>3.5744978140378425</v>
      </c>
      <c r="K33" s="6"/>
      <c r="L33" s="6"/>
      <c r="M33" s="7"/>
      <c r="O33" s="5"/>
      <c r="P33" s="6"/>
      <c r="Q33" s="6"/>
      <c r="R33" s="6"/>
      <c r="S33" s="6"/>
      <c r="T33" s="6"/>
      <c r="U33" s="6"/>
      <c r="V33" s="13" t="s">
        <v>67</v>
      </c>
      <c r="W33" s="6"/>
      <c r="X33" s="11">
        <f>priceint(-1,X3,J43,2/12,'July Options'!I4:I76,'Sep Options'!I4:I40)</f>
        <v>0.25105034872399801</v>
      </c>
      <c r="Y33" s="6"/>
      <c r="Z33" s="108">
        <f>L47*MAX((L40*EXP(-A2*'Forward Rates'!C7/100*5)-L46),L40-L46)</f>
        <v>2.5494210000947852</v>
      </c>
      <c r="AA33" s="56"/>
    </row>
    <row r="34" spans="1:27" ht="15" thickBot="1" x14ac:dyDescent="0.4">
      <c r="A34" s="36" t="s">
        <v>3</v>
      </c>
      <c r="B34" s="120">
        <f>(EXP('Forward Rates'!C3/100*A2)*B31-D34)/(D28-D34)</f>
        <v>0.52162126704660017</v>
      </c>
      <c r="C34" s="6"/>
      <c r="D34" s="118">
        <f>(B31*EXP(-A2*'Forward Rates'!C3/100))/D13</f>
        <v>170.90921371900876</v>
      </c>
      <c r="E34" s="96"/>
      <c r="F34" s="58">
        <f>(EXP(A2*'Forward Rates'!E5/100)*F31-H34-F6)/(H28-H34)</f>
        <v>0.45260691245821899</v>
      </c>
      <c r="G34" s="96"/>
      <c r="H34" s="41">
        <f>(F31*EXP(A2*'Forward Rates'!E5/100))/H13</f>
        <v>172.27727102060601</v>
      </c>
      <c r="I34" s="96"/>
      <c r="J34" s="13">
        <f>(EXP(A2*'Forward Rates'!G7/100)*J31-L34)/(L28-L34)</f>
        <v>0.49840285903251086</v>
      </c>
      <c r="K34" s="6"/>
      <c r="L34" s="11">
        <f>(J31*EXP(A2*'Forward Rates'!G7/100))/L13</f>
        <v>171.51127985229269</v>
      </c>
      <c r="M34" s="7"/>
      <c r="O34" s="5"/>
      <c r="P34" s="6"/>
      <c r="Q34" s="6"/>
      <c r="R34" s="6"/>
      <c r="S34" s="6"/>
      <c r="T34" s="6"/>
      <c r="U34" s="6"/>
      <c r="V34" s="6"/>
      <c r="W34" s="6"/>
      <c r="X34" s="12" t="s">
        <v>67</v>
      </c>
      <c r="Y34" s="6"/>
      <c r="Z34" s="55"/>
      <c r="AA34" s="56"/>
    </row>
    <row r="35" spans="1:27" ht="15" thickBot="1" x14ac:dyDescent="0.4">
      <c r="A35" s="5"/>
      <c r="B35" s="6"/>
      <c r="C35" s="6"/>
      <c r="D35" s="119">
        <f>EXP(-'Forward Rates'!C3/100*A2)*(1-B34)</f>
        <v>0.47750528222907601</v>
      </c>
      <c r="E35" s="96"/>
      <c r="F35" s="101">
        <f>fPGRoup7(T25,T26,T27,F32)</f>
        <v>7.4970251966741843</v>
      </c>
      <c r="G35" s="96"/>
      <c r="H35" s="57">
        <f>EXP(-'Forward Rates'!C5/100*A2)*((1-F34)*F32+F40*F38)</f>
        <v>0.39075833550115402</v>
      </c>
      <c r="I35" s="96"/>
      <c r="J35" s="6"/>
      <c r="K35" s="6"/>
      <c r="L35" s="12">
        <f>EXP(-'Forward Rates'!C7/100*5*A2)*(J40*J38+(1-J34)*J32)</f>
        <v>0.31464917117816699</v>
      </c>
      <c r="M35" s="7"/>
      <c r="O35" s="5"/>
      <c r="P35" s="6"/>
      <c r="Q35" s="6"/>
      <c r="R35" s="6"/>
      <c r="S35" s="6"/>
      <c r="T35" s="6"/>
      <c r="U35" s="6"/>
      <c r="V35" s="6"/>
      <c r="W35" s="6"/>
      <c r="X35" s="13" t="s">
        <v>67</v>
      </c>
      <c r="Y35" s="6"/>
      <c r="Z35" s="106">
        <f>priceint(-1,Z3,L46,2/12,'Aug Options'!I4:I28,'Oct Options'!I4:I76)</f>
        <v>0.2534376314320384</v>
      </c>
      <c r="AA35" s="56"/>
    </row>
    <row r="36" spans="1:27" ht="15" thickBot="1" x14ac:dyDescent="0.4">
      <c r="A36" s="5"/>
      <c r="B36" s="6"/>
      <c r="C36" s="6"/>
      <c r="D36" s="119">
        <f>R27/D35</f>
        <v>6.871011864560109</v>
      </c>
      <c r="E36" s="96"/>
      <c r="F36" s="96"/>
      <c r="G36" s="96"/>
      <c r="H36" s="57">
        <f>fPGRoup7(V27,V28,V29,H35)</f>
        <v>7.687554499558912</v>
      </c>
      <c r="I36" s="96"/>
      <c r="J36" s="101">
        <f>((H36*J31)+H34*(H34-J31*EXP(-4*A2*'Forward Rates'!C6/100)))/(H36+H34-J31*EXP(-4*A2*'Forward Rates'!C6/100))</f>
        <v>211.85294508633513</v>
      </c>
      <c r="K36" s="6"/>
      <c r="L36" s="12">
        <f>fPGRoup7(Z27,Z28,Z29,L35)</f>
        <v>22.116557481230139</v>
      </c>
      <c r="M36" s="7"/>
      <c r="O36" s="5"/>
      <c r="P36" s="6"/>
      <c r="Q36" s="6"/>
      <c r="R36" s="6"/>
      <c r="S36" s="6"/>
      <c r="T36" s="6"/>
      <c r="U36" s="6"/>
      <c r="V36" s="6"/>
      <c r="W36" s="6"/>
      <c r="X36" s="6"/>
      <c r="Y36" s="6"/>
      <c r="Z36" s="107" t="s">
        <v>67</v>
      </c>
      <c r="AA36" s="56"/>
    </row>
    <row r="37" spans="1:27" ht="15" thickBot="1" x14ac:dyDescent="0.4">
      <c r="A37" s="5"/>
      <c r="B37" s="6"/>
      <c r="C37" s="6"/>
      <c r="D37" s="120">
        <f>(EXP(A2*'Forward Rates'!D4/100)*D34-F37)/(F31-F37)</f>
        <v>0.86357730681631795</v>
      </c>
      <c r="E37" s="96"/>
      <c r="F37" s="103">
        <f>((D36*F31+D34*(D34-F31*EXP(-2*A2*'Forward Rates'!C4/100)))/(D36+D34-EXP(-2*A2*'Forward Rates'!C4/100)*F31))+F12</f>
        <v>118.5129616363227</v>
      </c>
      <c r="G37" s="96"/>
      <c r="H37" s="104">
        <f>(EXP(A2*'Forward Rates'!F6/100)*H34-J37)/(J31-J37)</f>
        <v>0.50645991345332475</v>
      </c>
      <c r="I37" s="96"/>
      <c r="J37" s="99">
        <f>J31*H34/H28</f>
        <v>165.21822480341712</v>
      </c>
      <c r="K37" s="6"/>
      <c r="L37" s="13" t="s">
        <v>67</v>
      </c>
      <c r="M37" s="7"/>
      <c r="O37" s="5"/>
      <c r="P37" s="6"/>
      <c r="Q37" s="6"/>
      <c r="R37" s="6"/>
      <c r="S37" s="6"/>
      <c r="T37" s="6"/>
      <c r="U37" s="6"/>
      <c r="V37" s="6"/>
      <c r="W37" s="6"/>
      <c r="X37" s="6"/>
      <c r="Y37" s="6"/>
      <c r="Z37" s="108" t="s">
        <v>67</v>
      </c>
      <c r="AA37" s="56"/>
    </row>
    <row r="38" spans="1:27" x14ac:dyDescent="0.35">
      <c r="A38" s="5"/>
      <c r="B38" s="6"/>
      <c r="C38" s="6"/>
      <c r="D38" s="6"/>
      <c r="E38" s="96"/>
      <c r="F38" s="57">
        <f>EXP(-'Forward Rates'!C4/100*2*A2)*(1-D37)*D35</f>
        <v>6.4908474761269055E-2</v>
      </c>
      <c r="G38" s="96"/>
      <c r="H38" s="96"/>
      <c r="I38" s="96"/>
      <c r="J38" s="12">
        <f>EXP(-'Forward Rates'!C6/100*4*A2)*(H43*H41+(1-H37)*H35)</f>
        <v>0.19604765375738456</v>
      </c>
      <c r="K38" s="6"/>
      <c r="L38" s="6"/>
      <c r="M38" s="7"/>
      <c r="O38" s="59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1"/>
    </row>
    <row r="39" spans="1:27" ht="15" thickBot="1" x14ac:dyDescent="0.4">
      <c r="A39" s="5"/>
      <c r="B39" s="6"/>
      <c r="C39" s="6"/>
      <c r="D39" s="6"/>
      <c r="E39" s="96"/>
      <c r="F39" s="57">
        <f>T29/F38</f>
        <v>2.1276681739473418</v>
      </c>
      <c r="G39" s="96"/>
      <c r="H39" s="96"/>
      <c r="I39" s="96"/>
      <c r="J39" s="57">
        <f>fPGRoup7(X29,X30,X31,J38)</f>
        <v>10.916528559271519</v>
      </c>
      <c r="K39" s="6"/>
      <c r="L39" s="101">
        <f>((J39*L34)+J37*(J37-L34*EXP(-5*A2*'Forward Rates'!C7/100)))/(J39+J37-L34*EXP(-5*A2*'Forward Rates'!C7/100))</f>
        <v>176.25378241592554</v>
      </c>
      <c r="M39" s="7"/>
      <c r="Z39" s="55"/>
    </row>
    <row r="40" spans="1:27" ht="19" thickBot="1" x14ac:dyDescent="0.4">
      <c r="A40" s="5"/>
      <c r="B40" s="6"/>
      <c r="C40" s="6"/>
      <c r="D40" s="6"/>
      <c r="E40" s="96"/>
      <c r="F40" s="58">
        <f>(EXP(A2*'Forward Rates'!E5/100)*F37-H40-F6)/(H34-H40)</f>
        <v>3.1292306449556981E-2</v>
      </c>
      <c r="G40" s="96"/>
      <c r="H40" s="41">
        <f>(F39*H34+(F37-H34*EXP(-3*A2*'Forward Rates'!C5/100))*F37)/(F39+F37-H34*EXP(-3*A2*'Forward Rates'!C5/100))</f>
        <v>116.25686779540005</v>
      </c>
      <c r="I40" s="96"/>
      <c r="J40" s="13">
        <f>(EXP(A2*'Forward Rates'!G7/100)*J37-L40)/(L34-L40)</f>
        <v>0.57220954411076475</v>
      </c>
      <c r="K40" s="6"/>
      <c r="L40" s="11">
        <f>L34*J37/J31</f>
        <v>157.58380972042553</v>
      </c>
      <c r="M40" s="7"/>
      <c r="O40" s="111" t="s">
        <v>967</v>
      </c>
      <c r="P40" s="112"/>
      <c r="Q40" s="3"/>
      <c r="R40" s="3"/>
      <c r="S40" s="3"/>
      <c r="T40" s="3"/>
      <c r="U40" s="3"/>
      <c r="V40" s="3"/>
      <c r="W40" s="3"/>
      <c r="X40" s="3"/>
      <c r="Y40" s="4"/>
    </row>
    <row r="41" spans="1:27" ht="15" thickBot="1" x14ac:dyDescent="0.4">
      <c r="A41" s="5"/>
      <c r="B41" s="6"/>
      <c r="C41" s="6"/>
      <c r="D41" s="6"/>
      <c r="E41" s="96"/>
      <c r="F41" s="102"/>
      <c r="G41" s="96"/>
      <c r="H41" s="57">
        <f>EXP(-'Forward Rates'!C5/100*3*A2)*(1-F40)*F38</f>
        <v>6.2536885557476066E-2</v>
      </c>
      <c r="I41" s="96"/>
      <c r="J41" s="6"/>
      <c r="K41" s="6"/>
      <c r="L41" s="12">
        <f>EXP(-'Forward Rates'!C7/100*5*A2)*(J46*J44+(1-J40)*J38)</f>
        <v>8.905636185941905E-2</v>
      </c>
      <c r="M41" s="7"/>
      <c r="O41" s="5"/>
      <c r="P41" s="6"/>
      <c r="Q41" s="6"/>
      <c r="R41" s="6"/>
      <c r="S41" s="6"/>
      <c r="T41" s="6"/>
      <c r="U41" s="6"/>
      <c r="V41" s="6"/>
      <c r="W41" s="6"/>
      <c r="X41" s="6"/>
      <c r="Y41" s="7"/>
    </row>
    <row r="42" spans="1:27" ht="15" thickBot="1" x14ac:dyDescent="0.4">
      <c r="A42" s="5"/>
      <c r="B42" s="6"/>
      <c r="C42" s="6"/>
      <c r="D42" s="6"/>
      <c r="E42" s="96"/>
      <c r="F42" s="96"/>
      <c r="G42" s="96"/>
      <c r="H42" s="57">
        <f>V31/H41</f>
        <v>3.3394578097710048</v>
      </c>
      <c r="I42" s="96"/>
      <c r="J42" s="6"/>
      <c r="K42" s="6"/>
      <c r="L42" s="12">
        <f>fPGRoup7(Z31,Z32,Z33,L41)</f>
        <v>18.731720214330366</v>
      </c>
      <c r="M42" s="7"/>
      <c r="O42" s="95"/>
      <c r="P42" s="96"/>
      <c r="Q42" s="96"/>
      <c r="R42" s="96"/>
      <c r="S42" s="96"/>
      <c r="T42" s="96"/>
      <c r="U42" s="96"/>
      <c r="V42" s="96"/>
      <c r="W42" s="96"/>
      <c r="X42" s="41">
        <v>1</v>
      </c>
      <c r="Y42" s="97"/>
    </row>
    <row r="43" spans="1:27" ht="15" thickBot="1" x14ac:dyDescent="0.4">
      <c r="A43" s="5"/>
      <c r="B43" s="6"/>
      <c r="C43" s="6"/>
      <c r="D43" s="6"/>
      <c r="E43" s="96"/>
      <c r="F43" s="96"/>
      <c r="G43" s="96"/>
      <c r="H43" s="104">
        <f>(EXP(A2*'Forward Rates'!F6/100)*H40-J43)/(J37-J43)</f>
        <v>7.4251679837551945E-2</v>
      </c>
      <c r="I43" s="96"/>
      <c r="J43" s="99">
        <f>((H42*J37)+H40*(H40-J37*EXP(-4*A2*'Forward Rates'!C6/100)))/(H42+H40-J37*EXP(-4*A2*'Forward Rates'!C6/100))</f>
        <v>112.57502436836791</v>
      </c>
      <c r="K43" s="6"/>
      <c r="L43" s="13" t="s">
        <v>67</v>
      </c>
      <c r="M43" s="7"/>
      <c r="O43" s="95"/>
      <c r="P43" s="96"/>
      <c r="Q43" s="96"/>
      <c r="R43" s="96"/>
      <c r="S43" s="96"/>
      <c r="T43" s="96"/>
      <c r="U43" s="96"/>
      <c r="V43" s="96"/>
      <c r="W43" s="96"/>
      <c r="X43" s="57" t="s">
        <v>9</v>
      </c>
      <c r="Y43" s="97"/>
    </row>
    <row r="44" spans="1:27" ht="15" thickBot="1" x14ac:dyDescent="0.4">
      <c r="A44" s="5"/>
      <c r="B44" s="6"/>
      <c r="C44" s="6"/>
      <c r="D44" s="6"/>
      <c r="E44" s="96"/>
      <c r="F44" s="96"/>
      <c r="G44" s="96"/>
      <c r="H44" s="96"/>
      <c r="I44" s="96"/>
      <c r="J44" s="12">
        <f>EXP(-'Forward Rates'!C6/100*4*A2)*(1-H43)*H41</f>
        <v>5.7468162571176318E-2</v>
      </c>
      <c r="K44" s="6"/>
      <c r="L44" s="6"/>
      <c r="M44" s="7"/>
      <c r="O44" s="95"/>
      <c r="P44" s="96"/>
      <c r="Q44" s="96"/>
      <c r="R44" s="96"/>
      <c r="S44" s="96"/>
      <c r="T44" s="96"/>
      <c r="U44" s="96"/>
      <c r="V44" s="41">
        <f>(J21-J27)/(J19-J25)</f>
        <v>0.99603876957522219</v>
      </c>
      <c r="W44" s="96"/>
      <c r="X44" s="58" t="s">
        <v>9</v>
      </c>
      <c r="Y44" s="97"/>
    </row>
    <row r="45" spans="1:27" ht="15" thickBot="1" x14ac:dyDescent="0.4">
      <c r="A45" s="5"/>
      <c r="B45" s="6"/>
      <c r="C45" s="6"/>
      <c r="D45" s="6"/>
      <c r="E45" s="96"/>
      <c r="F45" s="96"/>
      <c r="G45" s="96"/>
      <c r="H45" s="96"/>
      <c r="I45" s="96"/>
      <c r="J45" s="12">
        <f>X33/J44</f>
        <v>4.3685118418926905</v>
      </c>
      <c r="K45" s="6"/>
      <c r="L45" s="6"/>
      <c r="M45" s="7"/>
      <c r="O45" s="95"/>
      <c r="P45" s="96"/>
      <c r="Q45" s="96"/>
      <c r="R45" s="96"/>
      <c r="S45" s="96"/>
      <c r="T45" s="96"/>
      <c r="U45" s="96"/>
      <c r="V45" s="57">
        <f>(((L18-L24)/(L16-L22))-((L24-L30)/(L22-L28)))/(J19-J25)</f>
        <v>0.10335506853307858</v>
      </c>
      <c r="W45" s="96"/>
      <c r="X45" s="96"/>
      <c r="Y45" s="97"/>
    </row>
    <row r="46" spans="1:27" ht="15" thickBot="1" x14ac:dyDescent="0.4">
      <c r="A46" s="5"/>
      <c r="B46" s="6"/>
      <c r="C46" s="6"/>
      <c r="D46" s="6"/>
      <c r="E46" s="6"/>
      <c r="F46" s="6"/>
      <c r="G46" s="6"/>
      <c r="H46" s="6"/>
      <c r="I46" s="6"/>
      <c r="J46" s="13">
        <f>(EXP(A2*'Forward Rates'!G7/100)*J43-L46)/(L40-L46)</f>
        <v>0.10490267348380038</v>
      </c>
      <c r="K46" s="6"/>
      <c r="L46" s="11">
        <f>((J45*L40)+J43*(J43-L40*EXP(-5*A2*'Forward Rates'!C7/100)))/(J45+J43-L40*EXP(-5*A2*'Forward Rates'!C7/100))</f>
        <v>107.55515537289</v>
      </c>
      <c r="M46" s="7"/>
      <c r="O46" s="95"/>
      <c r="P46" s="96"/>
      <c r="Q46" s="96"/>
      <c r="R46" s="96"/>
      <c r="S46" s="96"/>
      <c r="T46" s="41">
        <f>(H24-H30)/(H22-H28)</f>
        <v>0.41675360610054579</v>
      </c>
      <c r="U46" s="96"/>
      <c r="V46" s="58">
        <f>(L24-H24)/(2*$A$2)</f>
        <v>15.066276255439938</v>
      </c>
      <c r="W46" s="96"/>
      <c r="X46" s="41">
        <f>(L24-L30)/(L22-L28)</f>
        <v>0.25662079810423366</v>
      </c>
      <c r="Y46" s="97"/>
    </row>
    <row r="47" spans="1:27" ht="15" thickBot="1" x14ac:dyDescent="0.4">
      <c r="A47" s="5"/>
      <c r="B47" s="6"/>
      <c r="C47" s="6"/>
      <c r="D47" s="6"/>
      <c r="E47" s="6"/>
      <c r="G47" s="6"/>
      <c r="H47" s="6"/>
      <c r="I47" s="6"/>
      <c r="J47" s="93"/>
      <c r="K47" s="6"/>
      <c r="L47" s="92">
        <f>EXP(-'Forward Rates'!C7/100*5*A2)*(1-J46)*J44</f>
        <v>5.0959215940221909E-2</v>
      </c>
      <c r="M47" s="7"/>
      <c r="O47" s="95"/>
      <c r="P47" s="96"/>
      <c r="Q47" s="96"/>
      <c r="R47" s="96"/>
      <c r="S47" s="96"/>
      <c r="T47" s="57">
        <f>(((J21-J27)/(J19-J25))-((J27-J33)/(J25-J31)))/(H22-H28)</f>
        <v>1.6431390608011062E-2</v>
      </c>
      <c r="U47" s="96"/>
      <c r="V47" s="96"/>
      <c r="W47" s="96"/>
      <c r="X47" s="57" t="s">
        <v>9</v>
      </c>
      <c r="Y47" s="97"/>
    </row>
    <row r="48" spans="1:27" ht="15" thickBot="1" x14ac:dyDescent="0.4">
      <c r="A48" s="5"/>
      <c r="B48" s="6"/>
      <c r="C48" s="6"/>
      <c r="D48" s="6"/>
      <c r="E48" s="6"/>
      <c r="F48" s="6"/>
      <c r="G48" s="6"/>
      <c r="H48" s="6"/>
      <c r="I48" s="6"/>
      <c r="J48" s="6"/>
      <c r="K48" s="6"/>
      <c r="L48" s="12">
        <f>Z35/L47</f>
        <v>4.9733424417152596</v>
      </c>
      <c r="M48" s="7"/>
      <c r="O48" s="95"/>
      <c r="P48" s="96"/>
      <c r="Q48" s="96"/>
      <c r="R48" s="41">
        <f>(F27-F33)/(F25-F31)</f>
        <v>0.60475116407023743</v>
      </c>
      <c r="S48" s="96"/>
      <c r="T48" s="58">
        <f>(J27-F27)/(2*$A$2)</f>
        <v>8.9744871395249639</v>
      </c>
      <c r="U48" s="96"/>
      <c r="V48" s="41">
        <f>(J27-J33)/(J25-J31)</f>
        <v>0.71546396863586137</v>
      </c>
      <c r="W48" s="96"/>
      <c r="X48" s="58" t="s">
        <v>9</v>
      </c>
      <c r="Y48" s="97"/>
    </row>
    <row r="49" spans="1:25" ht="15" thickBot="1" x14ac:dyDescent="0.4">
      <c r="A49" s="5"/>
      <c r="B49" s="6"/>
      <c r="C49" s="6"/>
      <c r="D49" s="6"/>
      <c r="E49" s="6"/>
      <c r="F49" s="6"/>
      <c r="G49" s="6"/>
      <c r="H49" s="6"/>
      <c r="I49" s="6"/>
      <c r="J49" s="6"/>
      <c r="K49" s="6"/>
      <c r="L49" s="13" t="s">
        <v>67</v>
      </c>
      <c r="M49" s="7"/>
      <c r="O49" s="95"/>
      <c r="P49" s="96"/>
      <c r="Q49" s="96"/>
      <c r="R49" s="57">
        <f>(((H24-H30)/(H22-H28))-((H30-H36)/(H28-H34)))/(F26-F32)</f>
        <v>-0.38281110092417686</v>
      </c>
      <c r="S49" s="96"/>
      <c r="T49" s="96"/>
      <c r="U49" s="96"/>
      <c r="V49" s="57">
        <f>(((L24-L30)/(L22-L28))-((L30-L36)/(L28-L34)))/(J25-J31)</f>
        <v>3.6450000339816109E-2</v>
      </c>
      <c r="W49" s="96"/>
      <c r="X49" s="96"/>
      <c r="Y49" s="97"/>
    </row>
    <row r="50" spans="1:25" ht="15" thickBot="1" x14ac:dyDescent="0.4">
      <c r="A50" s="8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10"/>
      <c r="O50" s="95" t="s">
        <v>11</v>
      </c>
      <c r="P50" s="41">
        <f>(D30-D36)/(D28-D34)</f>
        <v>6.9650601744759316E-2</v>
      </c>
      <c r="Q50" s="96"/>
      <c r="R50" s="58">
        <f>(H30-D30)/(2*$A$2)</f>
        <v>19.38165349875073</v>
      </c>
      <c r="S50" s="96"/>
      <c r="T50" s="41">
        <f>(H30-H36)/(H28-H34)</f>
        <v>0.22795397669093631</v>
      </c>
      <c r="U50" s="96"/>
      <c r="V50" s="58">
        <f>(L30-H30)/(2*$A$2)</f>
        <v>32.055988662739622</v>
      </c>
      <c r="W50" s="96"/>
      <c r="X50" s="41">
        <f>(L30-L36)/(L28-L34)</f>
        <v>-0.32267078760181045</v>
      </c>
      <c r="Y50" s="97"/>
    </row>
    <row r="51" spans="1:25" ht="15" thickBot="1" x14ac:dyDescent="0.4">
      <c r="O51" s="95" t="s">
        <v>12</v>
      </c>
      <c r="P51" s="57">
        <f>(((F27-F33)/(F25-F31))-((F33-F39)/(F31-F37)))/(D28-D34)</f>
        <v>3.8298166127107104E-2</v>
      </c>
      <c r="Q51" s="96"/>
      <c r="R51" s="96"/>
      <c r="S51" s="96"/>
      <c r="T51" s="57">
        <f>(((J27-J33)/(J25-J31))-((J33-J39)/(J31-J37)))/(H28-H34)</f>
        <v>8.0011744785714073E-2</v>
      </c>
      <c r="U51" s="96"/>
      <c r="V51" s="96"/>
      <c r="W51" s="96"/>
      <c r="X51" s="57" t="s">
        <v>9</v>
      </c>
      <c r="Y51" s="97"/>
    </row>
    <row r="52" spans="1:25" ht="15" thickBot="1" x14ac:dyDescent="0.4">
      <c r="O52" s="95" t="s">
        <v>13</v>
      </c>
      <c r="P52" s="58">
        <f>(F33-B33)/(2*$A$2)</f>
        <v>7.6776931889583011E-2</v>
      </c>
      <c r="Q52" s="96"/>
      <c r="R52" s="41">
        <f>(F33-F39)/(F31-F37)</f>
        <v>2.3483685925974704E-2</v>
      </c>
      <c r="S52" s="96"/>
      <c r="T52" s="58">
        <f>(J33-F33)/(2*$A$2)</f>
        <v>8.0761202359314943E-2</v>
      </c>
      <c r="U52" s="96"/>
      <c r="V52" s="41">
        <f>(J33-J39)/(J31-J37)</f>
        <v>-0.50280270701157082</v>
      </c>
      <c r="W52" s="96"/>
      <c r="X52" s="58" t="s">
        <v>9</v>
      </c>
      <c r="Y52" s="97"/>
    </row>
    <row r="53" spans="1:25" ht="15" thickBot="1" x14ac:dyDescent="0.4">
      <c r="O53" s="95"/>
      <c r="P53" s="96"/>
      <c r="Q53" s="96"/>
      <c r="R53" s="57">
        <f>(((H30-H36)/(H28-H34))-((H36-H42)/(H34-H40)))/(F31-F37)</f>
        <v>2.4630653986146339E-3</v>
      </c>
      <c r="S53" s="96"/>
      <c r="T53" s="96"/>
      <c r="U53" s="96"/>
      <c r="V53" s="57">
        <f>(((L30-L36)/(L28-L34))-((L36-L41)/(L34-L40)))/(J31-J37)</f>
        <v>-0.13040885256214199</v>
      </c>
      <c r="W53" s="96"/>
      <c r="X53" s="96"/>
      <c r="Y53" s="97"/>
    </row>
    <row r="54" spans="1:25" ht="15" thickBot="1" x14ac:dyDescent="0.4">
      <c r="O54" s="95"/>
      <c r="P54" s="96"/>
      <c r="Q54" s="96"/>
      <c r="R54" s="58">
        <f>(H36-D36)/(2*$A$2)</f>
        <v>4.8992558099928178</v>
      </c>
      <c r="S54" s="96"/>
      <c r="T54" s="41">
        <f>(H36-H42)/(H34-H40)</f>
        <v>7.7616304765038072E-2</v>
      </c>
      <c r="U54" s="96"/>
      <c r="V54" s="58">
        <f>(L36-H36)/(2*$A$2)</f>
        <v>86.574017890027363</v>
      </c>
      <c r="W54" s="96"/>
      <c r="X54" s="41">
        <f>(L36-L42)/(L34-L40)</f>
        <v>0.24303317363826163</v>
      </c>
      <c r="Y54" s="97"/>
    </row>
    <row r="55" spans="1:25" ht="15" thickBot="1" x14ac:dyDescent="0.4">
      <c r="O55" s="95"/>
      <c r="P55" s="96"/>
      <c r="Q55" s="96"/>
      <c r="R55" s="96"/>
      <c r="S55" s="96"/>
      <c r="T55" s="57">
        <f>(((J33-J39)/(J31-J37))-((J39-J45)/(J37-J43)))/(H34-H40)</f>
        <v>-1.1195698769194105E-2</v>
      </c>
      <c r="U55" s="96"/>
      <c r="V55" s="96"/>
      <c r="W55" s="96"/>
      <c r="X55" s="57" t="s">
        <v>9</v>
      </c>
      <c r="Y55" s="97"/>
    </row>
    <row r="56" spans="1:25" ht="15" thickBot="1" x14ac:dyDescent="0.4">
      <c r="O56" s="95"/>
      <c r="P56" s="96"/>
      <c r="Q56" s="96"/>
      <c r="R56" s="96"/>
      <c r="S56" s="96"/>
      <c r="T56" s="58">
        <f>(J39-F39)/(2*$A$2)</f>
        <v>52.733162311945065</v>
      </c>
      <c r="U56" s="96"/>
      <c r="V56" s="41">
        <f>(J39-J45)/(J37-J43)</f>
        <v>0.12438485242662485</v>
      </c>
      <c r="W56" s="96"/>
      <c r="X56" s="58" t="s">
        <v>9</v>
      </c>
      <c r="Y56" s="97"/>
    </row>
    <row r="57" spans="1:25" ht="15" thickBot="1" x14ac:dyDescent="0.4">
      <c r="O57" s="95"/>
      <c r="P57" s="96"/>
      <c r="Q57" s="96"/>
      <c r="R57" s="96"/>
      <c r="S57" s="96"/>
      <c r="T57" s="96"/>
      <c r="U57" s="96"/>
      <c r="V57" s="57">
        <f>(((L36-L42)/(L34-L40))-((L42-L48)/(L40-L46)))/(J37-J43)</f>
        <v>-6.0742464241611289E-4</v>
      </c>
      <c r="W57" s="96"/>
      <c r="X57" s="96"/>
      <c r="Y57" s="97"/>
    </row>
    <row r="58" spans="1:25" ht="15" thickBot="1" x14ac:dyDescent="0.4">
      <c r="O58" s="95"/>
      <c r="P58" s="96"/>
      <c r="Q58" s="96"/>
      <c r="R58" s="96"/>
      <c r="S58" s="96"/>
      <c r="T58" s="96"/>
      <c r="U58" s="96"/>
      <c r="V58" s="58">
        <f>(L42-H42)/(2*$A$2)</f>
        <v>92.353574427356165</v>
      </c>
      <c r="W58" s="96"/>
      <c r="X58" s="41">
        <f>(L42-L48)/(L40-L46)</f>
        <v>0.27500995083816115</v>
      </c>
      <c r="Y58" s="97"/>
    </row>
    <row r="59" spans="1:25" x14ac:dyDescent="0.35">
      <c r="O59" s="95"/>
      <c r="P59" s="96"/>
      <c r="Q59" s="96"/>
      <c r="R59" s="96"/>
      <c r="S59" s="96"/>
      <c r="T59" s="96"/>
      <c r="U59" s="96"/>
      <c r="V59" s="96"/>
      <c r="W59" s="96"/>
      <c r="X59" s="57" t="s">
        <v>9</v>
      </c>
      <c r="Y59" s="97"/>
    </row>
    <row r="60" spans="1:25" ht="15" thickBot="1" x14ac:dyDescent="0.4">
      <c r="O60" s="95"/>
      <c r="P60" s="96"/>
      <c r="Q60" s="96"/>
      <c r="R60" s="96"/>
      <c r="S60" s="96"/>
      <c r="T60" s="96"/>
      <c r="U60" s="96"/>
      <c r="V60" s="96"/>
      <c r="W60" s="96"/>
      <c r="X60" s="58" t="s">
        <v>9</v>
      </c>
      <c r="Y60" s="97"/>
    </row>
    <row r="61" spans="1:25" x14ac:dyDescent="0.35">
      <c r="O61" s="95"/>
      <c r="P61" s="96"/>
      <c r="Q61" s="96"/>
      <c r="R61" s="96"/>
      <c r="S61" s="96"/>
      <c r="T61" s="96"/>
      <c r="U61" s="96"/>
      <c r="V61" s="96"/>
      <c r="W61" s="96"/>
      <c r="X61" s="96"/>
      <c r="Y61" s="97"/>
    </row>
    <row r="62" spans="1:25" x14ac:dyDescent="0.35">
      <c r="O62" s="8"/>
      <c r="P62" s="9"/>
      <c r="Q62" s="9"/>
      <c r="R62" s="9"/>
      <c r="S62" s="9"/>
      <c r="T62" s="9"/>
      <c r="U62" s="9"/>
      <c r="V62" s="9"/>
      <c r="W62" s="9"/>
      <c r="X62" s="9"/>
      <c r="Y62" s="10"/>
    </row>
  </sheetData>
  <mergeCells count="4">
    <mergeCell ref="O40:P40"/>
    <mergeCell ref="O13:S13"/>
    <mergeCell ref="A15:D15"/>
    <mergeCell ref="A16:C1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B364-19F0-6445-8C4E-49574F2433A2}">
  <sheetPr codeName="Sheet5"/>
  <dimension ref="A1:H22"/>
  <sheetViews>
    <sheetView zoomScale="72" workbookViewId="0">
      <selection activeCell="I7" sqref="I7"/>
    </sheetView>
  </sheetViews>
  <sheetFormatPr defaultColWidth="8.81640625" defaultRowHeight="12.5" x14ac:dyDescent="0.25"/>
  <cols>
    <col min="1" max="1" width="5.453125" style="25" bestFit="1" customWidth="1"/>
    <col min="2" max="2" width="5.453125" style="25" customWidth="1"/>
    <col min="3" max="3" width="8" style="25" bestFit="1" customWidth="1"/>
    <col min="4" max="7" width="8.1796875" style="25" bestFit="1" customWidth="1"/>
    <col min="8" max="16384" width="8.81640625" style="25"/>
  </cols>
  <sheetData>
    <row r="1" spans="1:8" ht="13" x14ac:dyDescent="0.25">
      <c r="A1" s="48" t="s">
        <v>941</v>
      </c>
      <c r="B1" s="46"/>
      <c r="C1" s="113" t="s">
        <v>26</v>
      </c>
      <c r="D1" s="113"/>
      <c r="E1" s="113"/>
      <c r="F1" s="113"/>
      <c r="G1" s="113"/>
      <c r="H1" s="46"/>
    </row>
    <row r="2" spans="1:8" x14ac:dyDescent="0.25">
      <c r="A2" s="46" t="s">
        <v>27</v>
      </c>
      <c r="B2" s="46"/>
      <c r="C2" s="46" t="s">
        <v>28</v>
      </c>
      <c r="D2" s="46" t="s">
        <v>29</v>
      </c>
      <c r="E2" s="46" t="s">
        <v>30</v>
      </c>
      <c r="F2" s="46" t="s">
        <v>31</v>
      </c>
      <c r="G2" s="46" t="s">
        <v>32</v>
      </c>
      <c r="H2" s="46" t="s">
        <v>33</v>
      </c>
    </row>
    <row r="3" spans="1:8" x14ac:dyDescent="0.25">
      <c r="A3" s="46" t="s">
        <v>34</v>
      </c>
      <c r="B3" s="46">
        <v>1</v>
      </c>
      <c r="C3" s="46">
        <v>2.1930299999999998</v>
      </c>
      <c r="D3" s="46">
        <v>2.1204999999999998</v>
      </c>
      <c r="E3" s="46">
        <v>2.3900399999999999</v>
      </c>
      <c r="F3" s="46">
        <v>2.1874400000000001</v>
      </c>
      <c r="G3" s="46">
        <v>2.3711099999999998</v>
      </c>
      <c r="H3" s="46">
        <v>2.4099900000000001</v>
      </c>
    </row>
    <row r="4" spans="1:8" x14ac:dyDescent="0.25">
      <c r="A4" s="46" t="s">
        <v>35</v>
      </c>
      <c r="B4" s="46">
        <v>2</v>
      </c>
      <c r="C4" s="46">
        <v>2.15991</v>
      </c>
      <c r="D4" s="46">
        <v>2.2009599999999998</v>
      </c>
      <c r="E4" s="46">
        <v>2.38415</v>
      </c>
      <c r="F4" s="46">
        <v>2.2926199999999999</v>
      </c>
      <c r="G4" s="46">
        <v>2.3948</v>
      </c>
      <c r="H4" s="46">
        <v>2.3908999999999998</v>
      </c>
    </row>
    <row r="5" spans="1:8" x14ac:dyDescent="0.25">
      <c r="A5" s="46" t="s">
        <v>36</v>
      </c>
      <c r="B5" s="46">
        <v>3</v>
      </c>
      <c r="C5" s="46">
        <v>2.17171</v>
      </c>
      <c r="D5" s="46">
        <v>2.2398099999999999</v>
      </c>
      <c r="E5" s="46">
        <v>2.3964699999999999</v>
      </c>
      <c r="F5" s="46">
        <v>2.3214800000000002</v>
      </c>
      <c r="G5" s="46">
        <v>2.3881800000000002</v>
      </c>
      <c r="H5" s="46">
        <v>2.4235199999999999</v>
      </c>
    </row>
    <row r="6" spans="1:8" ht="14.5" x14ac:dyDescent="0.25">
      <c r="A6" s="47" t="s">
        <v>63</v>
      </c>
      <c r="B6" s="47">
        <v>4</v>
      </c>
      <c r="C6" s="45">
        <f t="shared" ref="C6:H6" si="0">(($B$8-$B$6)*C5+($B$6-$B$5)*C8)/($B$8-$B$5)</f>
        <v>2.2117733333333334</v>
      </c>
      <c r="D6" s="45">
        <f t="shared" si="0"/>
        <v>2.2667666666666668</v>
      </c>
      <c r="E6" s="45">
        <f t="shared" si="0"/>
        <v>2.4049633333333333</v>
      </c>
      <c r="F6" s="45">
        <f t="shared" si="0"/>
        <v>2.34083</v>
      </c>
      <c r="G6" s="45">
        <f t="shared" si="0"/>
        <v>2.4094899999999999</v>
      </c>
      <c r="H6" s="45">
        <f t="shared" si="0"/>
        <v>2.4462299999999999</v>
      </c>
    </row>
    <row r="7" spans="1:8" ht="14.5" x14ac:dyDescent="0.25">
      <c r="A7" s="47" t="s">
        <v>64</v>
      </c>
      <c r="B7" s="47">
        <v>5</v>
      </c>
      <c r="C7" s="45">
        <f>(($B$8-B7)*$C$5+(B7-$B$5)*$C$8)/($B$8-$B$5)</f>
        <v>2.2518366666666667</v>
      </c>
      <c r="D7" s="45">
        <f>(($B$8-$B$7)*D5+($B$7-$B$5)*D8)/($B$8-$B$5)</f>
        <v>2.2937233333333329</v>
      </c>
      <c r="E7" s="45">
        <f>(($B$8-$B$7)*E5+($B$7-$B$5)*E8)/($B$8-$B$5)</f>
        <v>2.4134566666666664</v>
      </c>
      <c r="F7" s="45">
        <f>(($B$8-$B$7)*F5+($B$7-$B$5)*F8)/($B$8-$B$5)</f>
        <v>2.3601800000000002</v>
      </c>
      <c r="G7" s="45">
        <f>(($B$8-$B$7)*G5+($B$7-$B$5)*G8)/($B$8-$B$5)</f>
        <v>2.4308000000000001</v>
      </c>
      <c r="H7" s="45">
        <f>(($B$8-$B$7)*H5+($B$7-$B$5)*H8)/($B$8-$B$5)</f>
        <v>2.4689399999999999</v>
      </c>
    </row>
    <row r="8" spans="1:8" x14ac:dyDescent="0.25">
      <c r="A8" s="46" t="s">
        <v>37</v>
      </c>
      <c r="B8" s="46">
        <v>6</v>
      </c>
      <c r="C8" s="46">
        <v>2.2919</v>
      </c>
      <c r="D8" s="46">
        <v>2.3206799999999999</v>
      </c>
      <c r="E8" s="46">
        <v>2.4219499999999998</v>
      </c>
      <c r="F8" s="46">
        <v>2.3795299999999999</v>
      </c>
      <c r="G8" s="46">
        <v>2.4521099999999998</v>
      </c>
      <c r="H8" s="46">
        <v>2.4916499999999999</v>
      </c>
    </row>
    <row r="9" spans="1:8" x14ac:dyDescent="0.25">
      <c r="A9" s="46" t="s">
        <v>38</v>
      </c>
      <c r="B9" s="46"/>
      <c r="C9" s="46">
        <v>2.3384299999999998</v>
      </c>
      <c r="D9" s="46">
        <v>2.3805700000000001</v>
      </c>
      <c r="E9" s="46">
        <v>2.4577</v>
      </c>
      <c r="F9" s="46">
        <v>2.43424</v>
      </c>
      <c r="G9" s="46">
        <v>2.4905300000000001</v>
      </c>
      <c r="H9" s="46">
        <v>2.5179299999999998</v>
      </c>
    </row>
    <row r="10" spans="1:8" x14ac:dyDescent="0.25">
      <c r="A10" s="46" t="s">
        <v>39</v>
      </c>
      <c r="B10" s="46"/>
      <c r="C10" s="46">
        <v>2.3890799999999999</v>
      </c>
      <c r="D10" s="46">
        <v>2.4308999999999998</v>
      </c>
      <c r="E10" s="46">
        <v>2.5203600000000002</v>
      </c>
      <c r="F10" s="46">
        <v>2.4720599999999999</v>
      </c>
      <c r="G10" s="46">
        <v>2.5457800000000002</v>
      </c>
      <c r="H10" s="46">
        <v>2.5823900000000002</v>
      </c>
    </row>
    <row r="11" spans="1:8" x14ac:dyDescent="0.25">
      <c r="A11" s="46" t="s">
        <v>40</v>
      </c>
      <c r="B11" s="46"/>
      <c r="C11" s="46">
        <v>2.5809000000000002</v>
      </c>
      <c r="D11" s="46">
        <v>2.6093799999999998</v>
      </c>
      <c r="E11" s="46">
        <v>2.66629</v>
      </c>
      <c r="F11" s="46">
        <v>2.63652</v>
      </c>
      <c r="G11" s="46">
        <v>2.6849500000000002</v>
      </c>
      <c r="H11" s="46">
        <v>2.70825</v>
      </c>
    </row>
    <row r="12" spans="1:8" x14ac:dyDescent="0.25">
      <c r="A12" s="46" t="s">
        <v>41</v>
      </c>
      <c r="B12" s="46"/>
      <c r="C12" s="46">
        <v>2.6880999999999999</v>
      </c>
      <c r="D12" s="46">
        <v>2.70912</v>
      </c>
      <c r="E12" s="46">
        <v>2.7499199999999999</v>
      </c>
      <c r="F12" s="46">
        <v>2.72899</v>
      </c>
      <c r="G12" s="46">
        <v>2.76342</v>
      </c>
      <c r="H12" s="46">
        <v>2.77955</v>
      </c>
    </row>
    <row r="13" spans="1:8" x14ac:dyDescent="0.25">
      <c r="A13" s="46" t="s">
        <v>42</v>
      </c>
      <c r="B13" s="46"/>
      <c r="C13" s="46">
        <v>2.7439</v>
      </c>
      <c r="D13" s="46">
        <v>2.76065</v>
      </c>
      <c r="E13" s="46">
        <v>2.7922600000000002</v>
      </c>
      <c r="F13" s="46">
        <v>2.7758699999999998</v>
      </c>
      <c r="G13" s="46">
        <v>2.80301</v>
      </c>
      <c r="H13" s="46">
        <v>2.8153100000000002</v>
      </c>
    </row>
    <row r="14" spans="1:8" x14ac:dyDescent="0.25">
      <c r="A14" s="46" t="s">
        <v>43</v>
      </c>
      <c r="B14" s="46"/>
      <c r="C14" s="46">
        <v>2.7786</v>
      </c>
      <c r="D14" s="46">
        <v>2.7924899999999999</v>
      </c>
      <c r="E14" s="46">
        <v>2.81907</v>
      </c>
      <c r="F14" s="46">
        <v>2.8053300000000001</v>
      </c>
      <c r="G14" s="46">
        <v>2.8281200000000002</v>
      </c>
      <c r="H14" s="46">
        <v>2.8384999999999998</v>
      </c>
    </row>
    <row r="15" spans="1:8" x14ac:dyDescent="0.25">
      <c r="A15" s="46" t="s">
        <v>44</v>
      </c>
      <c r="B15" s="46"/>
      <c r="C15" s="46">
        <v>2.8297500000000002</v>
      </c>
      <c r="D15" s="46">
        <v>2.8406699999999998</v>
      </c>
      <c r="E15" s="46">
        <v>2.8619400000000002</v>
      </c>
      <c r="F15" s="46">
        <v>2.8509899999999999</v>
      </c>
      <c r="G15" s="46">
        <v>2.8693900000000001</v>
      </c>
      <c r="H15" s="46">
        <v>2.87785</v>
      </c>
    </row>
    <row r="16" spans="1:8" x14ac:dyDescent="0.25">
      <c r="A16" s="46" t="s">
        <v>45</v>
      </c>
      <c r="B16" s="46"/>
      <c r="C16" s="46">
        <v>2.8715999999999999</v>
      </c>
      <c r="D16" s="46">
        <v>2.88103</v>
      </c>
      <c r="E16" s="46">
        <v>2.8991600000000002</v>
      </c>
      <c r="F16" s="46">
        <v>2.8899599999999999</v>
      </c>
      <c r="G16" s="46">
        <v>2.90577</v>
      </c>
      <c r="H16" s="46">
        <v>2.9131499999999999</v>
      </c>
    </row>
    <row r="17" spans="1:8" x14ac:dyDescent="0.25">
      <c r="A17" s="46" t="s">
        <v>46</v>
      </c>
      <c r="B17" s="46"/>
      <c r="C17" s="46">
        <v>2.8912100000000001</v>
      </c>
      <c r="D17" s="46">
        <v>2.90036</v>
      </c>
      <c r="E17" s="46">
        <v>2.9176700000000002</v>
      </c>
      <c r="F17" s="46">
        <v>2.9087499999999999</v>
      </c>
      <c r="G17" s="46">
        <v>2.92421</v>
      </c>
      <c r="H17" s="46">
        <v>2.9312800000000001</v>
      </c>
    </row>
    <row r="18" spans="1:8" x14ac:dyDescent="0.25">
      <c r="A18" s="46" t="s">
        <v>47</v>
      </c>
      <c r="B18" s="46"/>
      <c r="C18" s="46">
        <v>2.9272999999999998</v>
      </c>
      <c r="D18" s="46">
        <v>2.9348900000000002</v>
      </c>
      <c r="E18" s="46">
        <v>2.94957</v>
      </c>
      <c r="F18" s="46">
        <v>2.9420500000000001</v>
      </c>
      <c r="G18" s="46">
        <v>2.9549300000000001</v>
      </c>
      <c r="H18" s="46">
        <v>2.9608599999999998</v>
      </c>
    </row>
    <row r="19" spans="1:8" x14ac:dyDescent="0.25">
      <c r="A19" s="46" t="s">
        <v>48</v>
      </c>
      <c r="B19" s="46"/>
      <c r="C19" s="46">
        <v>2.9599000000000002</v>
      </c>
      <c r="D19" s="46">
        <v>2.9661599999999999</v>
      </c>
      <c r="E19" s="46">
        <v>2.9781200000000001</v>
      </c>
      <c r="F19" s="46">
        <v>2.9720300000000002</v>
      </c>
      <c r="G19" s="46">
        <v>2.98258</v>
      </c>
      <c r="H19" s="46">
        <v>2.9874000000000001</v>
      </c>
    </row>
    <row r="20" spans="1:8" x14ac:dyDescent="0.25">
      <c r="A20" s="46" t="s">
        <v>49</v>
      </c>
      <c r="B20" s="46"/>
      <c r="C20" s="46">
        <v>2.9828999999999999</v>
      </c>
      <c r="D20" s="46">
        <v>2.9875099999999999</v>
      </c>
      <c r="E20" s="46">
        <v>2.99647</v>
      </c>
      <c r="F20" s="46">
        <v>2.99194</v>
      </c>
      <c r="G20" s="46">
        <v>2.9996999999999998</v>
      </c>
      <c r="H20" s="46">
        <v>3.0032399999999999</v>
      </c>
    </row>
    <row r="21" spans="1:8" x14ac:dyDescent="0.25">
      <c r="A21" s="46" t="s">
        <v>50</v>
      </c>
      <c r="B21" s="46"/>
      <c r="C21" s="46">
        <v>2.9611000000000001</v>
      </c>
      <c r="D21" s="46">
        <v>2.9642400000000002</v>
      </c>
      <c r="E21" s="46">
        <v>2.9704100000000002</v>
      </c>
      <c r="F21" s="46">
        <v>2.96733</v>
      </c>
      <c r="G21" s="46">
        <v>2.97255</v>
      </c>
      <c r="H21" s="46">
        <v>2.9748999999999999</v>
      </c>
    </row>
    <row r="22" spans="1:8" x14ac:dyDescent="0.25">
      <c r="A22" s="46" t="s">
        <v>51</v>
      </c>
      <c r="B22" s="46"/>
      <c r="C22" s="46">
        <v>2.8900600000000001</v>
      </c>
      <c r="D22" s="46">
        <v>2.8912300000000002</v>
      </c>
      <c r="E22" s="46">
        <v>2.8936899999999999</v>
      </c>
      <c r="F22" s="46">
        <v>2.8925299999999998</v>
      </c>
      <c r="G22" s="46">
        <v>2.89419</v>
      </c>
      <c r="H22" s="46">
        <v>2.8948800000000001</v>
      </c>
    </row>
  </sheetData>
  <mergeCells count="1">
    <mergeCell ref="C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4E45-A6A2-B943-9AD9-552E9DF8A604}">
  <sheetPr codeName="Sheet6"/>
  <dimension ref="A1"/>
  <sheetViews>
    <sheetView zoomScale="55" zoomScaleNormal="55" workbookViewId="0">
      <selection activeCell="AH24" sqref="AH24"/>
    </sheetView>
  </sheetViews>
  <sheetFormatPr defaultColWidth="8.81640625"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63E4-F0A6-3647-B5EF-4129FA4C1026}">
  <sheetPr codeName="Sheet8"/>
  <dimension ref="A1:R95"/>
  <sheetViews>
    <sheetView topLeftCell="A7" zoomScale="85" workbookViewId="0">
      <selection activeCell="D54" sqref="C54:D54"/>
    </sheetView>
  </sheetViews>
  <sheetFormatPr defaultColWidth="8.81640625" defaultRowHeight="14.5" x14ac:dyDescent="0.35"/>
  <cols>
    <col min="1" max="2" width="9.1796875" bestFit="1" customWidth="1"/>
    <col min="3" max="5" width="17" bestFit="1" customWidth="1"/>
    <col min="6" max="6" width="17" style="50" bestFit="1" customWidth="1"/>
    <col min="7" max="10" width="9.1796875" style="50" bestFit="1" customWidth="1"/>
    <col min="11" max="14" width="17" style="50" bestFit="1" customWidth="1"/>
    <col min="15" max="16" width="9.1796875" bestFit="1" customWidth="1"/>
  </cols>
  <sheetData>
    <row r="1" spans="1:18" x14ac:dyDescent="0.35">
      <c r="A1" s="114" t="s">
        <v>950</v>
      </c>
      <c r="B1" s="114"/>
      <c r="C1" s="114"/>
      <c r="D1" s="114"/>
      <c r="E1" s="114"/>
      <c r="F1" s="114"/>
      <c r="G1" s="114"/>
      <c r="H1" s="114"/>
      <c r="I1" s="94"/>
      <c r="J1" s="94"/>
      <c r="K1" s="94"/>
      <c r="L1" s="94"/>
      <c r="M1" s="94"/>
      <c r="N1" s="94"/>
      <c r="O1" s="94"/>
      <c r="P1" s="94"/>
    </row>
    <row r="2" spans="1:18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8" x14ac:dyDescent="0.35">
      <c r="A3" s="115" t="s">
        <v>951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8" x14ac:dyDescent="0.35">
      <c r="A4" s="94">
        <v>2.5</v>
      </c>
      <c r="B4" s="94" t="s">
        <v>400</v>
      </c>
      <c r="C4" s="94">
        <v>177.30000305175801</v>
      </c>
      <c r="D4" s="94">
        <v>177.44999694824199</v>
      </c>
      <c r="E4" s="94">
        <v>0</v>
      </c>
      <c r="F4" s="94">
        <v>1563.88220214844</v>
      </c>
      <c r="G4" s="94">
        <v>0</v>
      </c>
      <c r="H4" s="94" t="s">
        <v>70</v>
      </c>
      <c r="I4" s="94">
        <v>2.5</v>
      </c>
      <c r="J4" s="94" t="s">
        <v>399</v>
      </c>
      <c r="K4" s="94">
        <v>0</v>
      </c>
      <c r="L4" s="94">
        <v>1.9999999552965199E-2</v>
      </c>
      <c r="M4" s="94">
        <v>0</v>
      </c>
      <c r="N4" s="94">
        <v>1690.81970214844</v>
      </c>
      <c r="O4" s="94">
        <v>0</v>
      </c>
      <c r="P4" s="94" t="s">
        <v>70</v>
      </c>
    </row>
    <row r="5" spans="1:18" x14ac:dyDescent="0.35">
      <c r="A5" s="94">
        <v>5</v>
      </c>
      <c r="B5" s="94" t="s">
        <v>398</v>
      </c>
      <c r="C5" s="94">
        <v>174.80000305175801</v>
      </c>
      <c r="D5" s="94">
        <v>174.94999694824199</v>
      </c>
      <c r="E5" s="94">
        <v>0</v>
      </c>
      <c r="F5" s="94">
        <v>1278.58605957031</v>
      </c>
      <c r="G5" s="94">
        <v>0</v>
      </c>
      <c r="H5" s="94" t="s">
        <v>70</v>
      </c>
      <c r="I5" s="94">
        <v>5</v>
      </c>
      <c r="J5" s="94" t="s">
        <v>397</v>
      </c>
      <c r="K5" s="94">
        <v>0</v>
      </c>
      <c r="L5" s="94">
        <v>1.9999999552965199E-2</v>
      </c>
      <c r="M5" s="94">
        <v>0</v>
      </c>
      <c r="N5" s="94">
        <v>1383.32495117188</v>
      </c>
      <c r="O5" s="94">
        <v>0</v>
      </c>
      <c r="P5" s="94" t="s">
        <v>70</v>
      </c>
    </row>
    <row r="6" spans="1:18" x14ac:dyDescent="0.35">
      <c r="A6" s="94">
        <v>7.5</v>
      </c>
      <c r="B6" s="94" t="s">
        <v>396</v>
      </c>
      <c r="C6" s="94">
        <v>172.25</v>
      </c>
      <c r="D6" s="94">
        <v>172.5</v>
      </c>
      <c r="E6" s="94">
        <v>0</v>
      </c>
      <c r="F6" s="94">
        <v>1118.20471191406</v>
      </c>
      <c r="G6" s="94">
        <v>0</v>
      </c>
      <c r="H6" s="94" t="s">
        <v>70</v>
      </c>
      <c r="I6" s="94">
        <v>7.5</v>
      </c>
      <c r="J6" s="94" t="s">
        <v>395</v>
      </c>
      <c r="K6" s="94">
        <v>0</v>
      </c>
      <c r="L6" s="94">
        <v>1.9999999552965199E-2</v>
      </c>
      <c r="M6" s="94">
        <v>0</v>
      </c>
      <c r="N6" s="94">
        <v>1212.91540527344</v>
      </c>
      <c r="O6" s="94">
        <v>0</v>
      </c>
      <c r="P6" s="94" t="s">
        <v>70</v>
      </c>
    </row>
    <row r="7" spans="1:18" x14ac:dyDescent="0.35">
      <c r="A7" s="94">
        <v>10</v>
      </c>
      <c r="B7" s="94" t="s">
        <v>394</v>
      </c>
      <c r="C7" s="94">
        <v>169.60000610351599</v>
      </c>
      <c r="D7" s="94">
        <v>170.19999694824199</v>
      </c>
      <c r="E7" s="94">
        <v>0</v>
      </c>
      <c r="F7" s="94">
        <v>1147.9326171875</v>
      </c>
      <c r="G7" s="94">
        <v>0</v>
      </c>
      <c r="H7" s="94" t="s">
        <v>70</v>
      </c>
      <c r="I7" s="94">
        <v>10</v>
      </c>
      <c r="J7" s="94" t="s">
        <v>393</v>
      </c>
      <c r="K7" s="94">
        <v>0</v>
      </c>
      <c r="L7" s="94">
        <v>1.9999999552965199E-2</v>
      </c>
      <c r="M7" s="94">
        <v>0</v>
      </c>
      <c r="N7" s="94">
        <v>1095.70446777344</v>
      </c>
      <c r="O7" s="94">
        <v>0</v>
      </c>
      <c r="P7" s="94" t="s">
        <v>70</v>
      </c>
    </row>
    <row r="8" spans="1:18" x14ac:dyDescent="0.35">
      <c r="A8" s="94">
        <v>12.5</v>
      </c>
      <c r="B8" s="94" t="s">
        <v>392</v>
      </c>
      <c r="C8" s="94">
        <v>167.10000610351599</v>
      </c>
      <c r="D8" s="94">
        <v>167.69999694824199</v>
      </c>
      <c r="E8" s="94">
        <v>0</v>
      </c>
      <c r="F8" s="94">
        <v>1052.82788085938</v>
      </c>
      <c r="G8" s="94">
        <v>0</v>
      </c>
      <c r="H8" s="94" t="s">
        <v>70</v>
      </c>
      <c r="I8" s="94">
        <v>12.5</v>
      </c>
      <c r="J8" s="94" t="s">
        <v>391</v>
      </c>
      <c r="K8" s="94">
        <v>0</v>
      </c>
      <c r="L8" s="94">
        <v>1.9999999552965199E-2</v>
      </c>
      <c r="M8" s="94">
        <v>0</v>
      </c>
      <c r="N8" s="94">
        <v>1006.59527587891</v>
      </c>
      <c r="O8" s="94">
        <v>0</v>
      </c>
      <c r="P8" s="94" t="s">
        <v>70</v>
      </c>
    </row>
    <row r="9" spans="1:18" x14ac:dyDescent="0.35">
      <c r="A9" s="94">
        <v>15</v>
      </c>
      <c r="B9" s="94" t="s">
        <v>390</v>
      </c>
      <c r="C9" s="94">
        <v>164.60000610351599</v>
      </c>
      <c r="D9" s="94">
        <v>165.19999694824199</v>
      </c>
      <c r="E9" s="94">
        <v>0</v>
      </c>
      <c r="F9" s="94">
        <v>976.34857177734398</v>
      </c>
      <c r="G9" s="94">
        <v>0</v>
      </c>
      <c r="H9" s="94" t="s">
        <v>70</v>
      </c>
      <c r="I9" s="94">
        <v>15</v>
      </c>
      <c r="J9" s="94" t="s">
        <v>389</v>
      </c>
      <c r="K9" s="94">
        <v>0</v>
      </c>
      <c r="L9" s="94">
        <v>1.9999999552965199E-2</v>
      </c>
      <c r="M9" s="94">
        <v>0</v>
      </c>
      <c r="N9" s="94">
        <v>934.98223876953102</v>
      </c>
      <c r="O9" s="94">
        <v>0</v>
      </c>
      <c r="P9" s="94" t="s">
        <v>70</v>
      </c>
    </row>
    <row r="10" spans="1:18" x14ac:dyDescent="0.35">
      <c r="A10" s="94">
        <v>17.5</v>
      </c>
      <c r="B10" s="94" t="s">
        <v>388</v>
      </c>
      <c r="C10" s="94">
        <v>162.10000610351599</v>
      </c>
      <c r="D10" s="94">
        <v>162.69999694824199</v>
      </c>
      <c r="E10" s="94">
        <v>0</v>
      </c>
      <c r="F10" s="94">
        <v>912.47662353515602</v>
      </c>
      <c r="G10" s="94">
        <v>0</v>
      </c>
      <c r="H10" s="94" t="s">
        <v>70</v>
      </c>
      <c r="I10" s="94">
        <v>17.5</v>
      </c>
      <c r="J10" s="94" t="s">
        <v>387</v>
      </c>
      <c r="K10" s="94">
        <v>0</v>
      </c>
      <c r="L10" s="94">
        <v>1.9999999552965199E-2</v>
      </c>
      <c r="M10" s="94">
        <v>0</v>
      </c>
      <c r="N10" s="94">
        <v>875.1064453125</v>
      </c>
      <c r="O10" s="94">
        <v>0</v>
      </c>
      <c r="P10" s="94" t="s">
        <v>70</v>
      </c>
    </row>
    <row r="11" spans="1:18" x14ac:dyDescent="0.35">
      <c r="A11" s="94">
        <v>20</v>
      </c>
      <c r="B11" s="94" t="s">
        <v>386</v>
      </c>
      <c r="C11" s="94">
        <v>159.69999694824199</v>
      </c>
      <c r="D11" s="94">
        <v>160.19999694824199</v>
      </c>
      <c r="E11" s="94">
        <v>0</v>
      </c>
      <c r="F11" s="94">
        <v>948.2236328125</v>
      </c>
      <c r="G11" s="94">
        <v>0</v>
      </c>
      <c r="H11" s="94" t="s">
        <v>70</v>
      </c>
      <c r="I11" s="94">
        <v>20</v>
      </c>
      <c r="J11" s="94" t="s">
        <v>385</v>
      </c>
      <c r="K11" s="94">
        <v>0</v>
      </c>
      <c r="L11" s="94">
        <v>1.9999999552965199E-2</v>
      </c>
      <c r="M11" s="94">
        <v>0</v>
      </c>
      <c r="N11" s="94">
        <v>823.77990722656295</v>
      </c>
      <c r="O11" s="94">
        <v>0</v>
      </c>
      <c r="P11" s="94" t="s">
        <v>70</v>
      </c>
    </row>
    <row r="12" spans="1:18" x14ac:dyDescent="0.35">
      <c r="A12" s="94">
        <v>22.5</v>
      </c>
      <c r="B12" s="94" t="s">
        <v>384</v>
      </c>
      <c r="C12" s="94">
        <v>157.14999389648401</v>
      </c>
      <c r="D12" s="94">
        <v>157.69999694824199</v>
      </c>
      <c r="E12" s="94">
        <v>0</v>
      </c>
      <c r="F12" s="94">
        <v>860.11065673828102</v>
      </c>
      <c r="G12" s="94">
        <v>0</v>
      </c>
      <c r="H12" s="94" t="s">
        <v>70</v>
      </c>
      <c r="I12" s="94">
        <v>22.5</v>
      </c>
      <c r="J12" s="94" t="s">
        <v>383</v>
      </c>
      <c r="K12" s="94">
        <v>0</v>
      </c>
      <c r="L12" s="94">
        <v>1.9999999552965199E-2</v>
      </c>
      <c r="M12" s="94">
        <v>0</v>
      </c>
      <c r="N12" s="94">
        <v>778.87298583984398</v>
      </c>
      <c r="O12" s="94">
        <v>0</v>
      </c>
      <c r="P12" s="94" t="s">
        <v>70</v>
      </c>
      <c r="R12" s="49"/>
    </row>
    <row r="13" spans="1:18" x14ac:dyDescent="0.35">
      <c r="A13" s="94">
        <v>25</v>
      </c>
      <c r="B13" s="94" t="s">
        <v>382</v>
      </c>
      <c r="C13" s="94">
        <v>154.60000610351599</v>
      </c>
      <c r="D13" s="94">
        <v>155.19999694824199</v>
      </c>
      <c r="E13" s="94">
        <v>0</v>
      </c>
      <c r="F13" s="94">
        <v>767.176025390625</v>
      </c>
      <c r="G13" s="94">
        <v>0</v>
      </c>
      <c r="H13" s="94" t="s">
        <v>70</v>
      </c>
      <c r="I13" s="94">
        <v>25</v>
      </c>
      <c r="J13" s="94" t="s">
        <v>381</v>
      </c>
      <c r="K13" s="94">
        <v>0</v>
      </c>
      <c r="L13" s="94">
        <v>1.9999999552965199E-2</v>
      </c>
      <c r="M13" s="94">
        <v>0</v>
      </c>
      <c r="N13" s="94">
        <v>738.96783447265602</v>
      </c>
      <c r="O13" s="94">
        <v>0</v>
      </c>
      <c r="P13" s="94" t="s">
        <v>70</v>
      </c>
    </row>
    <row r="14" spans="1:18" x14ac:dyDescent="0.35">
      <c r="A14" s="94">
        <v>30</v>
      </c>
      <c r="B14" s="94" t="s">
        <v>380</v>
      </c>
      <c r="C14" s="94">
        <v>149.60000610351599</v>
      </c>
      <c r="D14" s="94">
        <v>150.19999694824199</v>
      </c>
      <c r="E14" s="94">
        <v>0</v>
      </c>
      <c r="F14" s="94">
        <v>694.094482421875</v>
      </c>
      <c r="G14" s="94">
        <v>0</v>
      </c>
      <c r="H14" s="94" t="s">
        <v>70</v>
      </c>
      <c r="I14" s="94">
        <v>30</v>
      </c>
      <c r="J14" s="94" t="s">
        <v>379</v>
      </c>
      <c r="K14" s="94">
        <v>0</v>
      </c>
      <c r="L14" s="94">
        <v>1.9999999552965199E-2</v>
      </c>
      <c r="M14" s="94">
        <v>0</v>
      </c>
      <c r="N14" s="94">
        <v>670.490234375</v>
      </c>
      <c r="O14" s="94">
        <v>0</v>
      </c>
      <c r="P14" s="94" t="s">
        <v>70</v>
      </c>
    </row>
    <row r="15" spans="1:18" x14ac:dyDescent="0.35">
      <c r="A15" s="94">
        <v>35</v>
      </c>
      <c r="B15" s="94" t="s">
        <v>378</v>
      </c>
      <c r="C15" s="94">
        <v>144.60000610351599</v>
      </c>
      <c r="D15" s="94">
        <v>145.19999694824199</v>
      </c>
      <c r="E15" s="94">
        <v>0</v>
      </c>
      <c r="F15" s="94">
        <v>632.85778808593795</v>
      </c>
      <c r="G15" s="94">
        <v>0</v>
      </c>
      <c r="H15" s="94" t="s">
        <v>70</v>
      </c>
      <c r="I15" s="94">
        <v>35</v>
      </c>
      <c r="J15" s="94" t="s">
        <v>377</v>
      </c>
      <c r="K15" s="94">
        <v>0</v>
      </c>
      <c r="L15" s="94">
        <v>1.00000016391277E-2</v>
      </c>
      <c r="M15" s="94">
        <v>0</v>
      </c>
      <c r="N15" s="94">
        <v>577.71649169921898</v>
      </c>
      <c r="O15" s="94">
        <v>0</v>
      </c>
      <c r="P15" s="94" t="s">
        <v>70</v>
      </c>
    </row>
    <row r="16" spans="1:18" x14ac:dyDescent="0.35">
      <c r="A16" s="94">
        <v>40</v>
      </c>
      <c r="B16" s="94" t="s">
        <v>376</v>
      </c>
      <c r="C16" s="94">
        <v>139.60000610351599</v>
      </c>
      <c r="D16" s="94">
        <v>140.19999694824199</v>
      </c>
      <c r="E16" s="94">
        <v>0</v>
      </c>
      <c r="F16" s="94">
        <v>580.1845703125</v>
      </c>
      <c r="G16" s="94">
        <v>0</v>
      </c>
      <c r="H16" s="94" t="s">
        <v>70</v>
      </c>
      <c r="I16" s="94">
        <v>40</v>
      </c>
      <c r="J16" s="94" t="s">
        <v>375</v>
      </c>
      <c r="K16" s="94">
        <v>0</v>
      </c>
      <c r="L16" s="94">
        <v>1.9999999552965199E-2</v>
      </c>
      <c r="M16" s="94">
        <v>0</v>
      </c>
      <c r="N16" s="94">
        <v>563.72198486328102</v>
      </c>
      <c r="O16" s="94">
        <v>0</v>
      </c>
      <c r="P16" s="94" t="s">
        <v>70</v>
      </c>
    </row>
    <row r="17" spans="1:18" x14ac:dyDescent="0.35">
      <c r="A17" s="94">
        <v>45</v>
      </c>
      <c r="B17" s="94" t="s">
        <v>374</v>
      </c>
      <c r="C17" s="94">
        <v>134.60000610351599</v>
      </c>
      <c r="D17" s="94">
        <v>135.19999694824199</v>
      </c>
      <c r="E17" s="94">
        <v>0</v>
      </c>
      <c r="F17" s="94">
        <v>533.986083984375</v>
      </c>
      <c r="G17" s="94">
        <v>0</v>
      </c>
      <c r="H17" s="94" t="s">
        <v>70</v>
      </c>
      <c r="I17" s="94">
        <v>45</v>
      </c>
      <c r="J17" s="94" t="s">
        <v>373</v>
      </c>
      <c r="K17" s="94">
        <v>0</v>
      </c>
      <c r="L17" s="94">
        <v>1.9999999552965199E-2</v>
      </c>
      <c r="M17" s="94">
        <v>0</v>
      </c>
      <c r="N17" s="94">
        <v>520.39666748046898</v>
      </c>
      <c r="O17" s="94">
        <v>0</v>
      </c>
      <c r="P17" s="94" t="s">
        <v>70</v>
      </c>
    </row>
    <row r="18" spans="1:18" x14ac:dyDescent="0.35">
      <c r="A18" s="94">
        <v>50</v>
      </c>
      <c r="B18" s="94" t="s">
        <v>372</v>
      </c>
      <c r="C18" s="94">
        <v>129.64999389648401</v>
      </c>
      <c r="D18" s="94">
        <v>130.19999694824199</v>
      </c>
      <c r="E18" s="94">
        <v>0</v>
      </c>
      <c r="F18" s="94">
        <v>527.17248535156295</v>
      </c>
      <c r="G18" s="94">
        <v>0</v>
      </c>
      <c r="H18" s="94" t="s">
        <v>70</v>
      </c>
      <c r="I18" s="94">
        <v>50</v>
      </c>
      <c r="J18" s="94" t="s">
        <v>371</v>
      </c>
      <c r="K18" s="94">
        <v>0</v>
      </c>
      <c r="L18" s="94">
        <v>1.9999999552965199E-2</v>
      </c>
      <c r="M18" s="94">
        <v>0</v>
      </c>
      <c r="N18" s="94">
        <v>481.80172729492199</v>
      </c>
      <c r="O18" s="94">
        <v>0</v>
      </c>
      <c r="P18" s="94" t="s">
        <v>70</v>
      </c>
    </row>
    <row r="19" spans="1:18" x14ac:dyDescent="0.35">
      <c r="A19" s="94">
        <v>55</v>
      </c>
      <c r="B19" s="94" t="s">
        <v>370</v>
      </c>
      <c r="C19" s="94">
        <v>124.65000152587901</v>
      </c>
      <c r="D19" s="94">
        <v>125.199996948242</v>
      </c>
      <c r="E19" s="94">
        <v>0</v>
      </c>
      <c r="F19" s="94">
        <v>488.36279296875</v>
      </c>
      <c r="G19" s="94">
        <v>0</v>
      </c>
      <c r="H19" s="94" t="s">
        <v>70</v>
      </c>
      <c r="I19" s="94">
        <v>55</v>
      </c>
      <c r="J19" s="94" t="s">
        <v>369</v>
      </c>
      <c r="K19" s="94">
        <v>0</v>
      </c>
      <c r="L19" s="94">
        <v>1.9999999552965199E-2</v>
      </c>
      <c r="M19" s="94">
        <v>0</v>
      </c>
      <c r="N19" s="94">
        <v>446.99890136718801</v>
      </c>
      <c r="O19" s="94">
        <v>0</v>
      </c>
      <c r="P19" s="94" t="s">
        <v>70</v>
      </c>
    </row>
    <row r="20" spans="1:18" x14ac:dyDescent="0.35">
      <c r="A20" s="94">
        <v>60</v>
      </c>
      <c r="B20" s="94" t="s">
        <v>368</v>
      </c>
      <c r="C20" s="94">
        <v>119.59999847412099</v>
      </c>
      <c r="D20" s="94">
        <v>120.199996948242</v>
      </c>
      <c r="E20" s="94">
        <v>0</v>
      </c>
      <c r="F20" s="94">
        <v>422.05090332031301</v>
      </c>
      <c r="G20" s="94">
        <v>0</v>
      </c>
      <c r="H20" s="94" t="s">
        <v>70</v>
      </c>
      <c r="I20" s="94">
        <v>60</v>
      </c>
      <c r="J20" s="94" t="s">
        <v>367</v>
      </c>
      <c r="K20" s="94">
        <v>0</v>
      </c>
      <c r="L20" s="94">
        <v>1.9999999552965199E-2</v>
      </c>
      <c r="M20" s="94">
        <v>0</v>
      </c>
      <c r="N20" s="94">
        <v>415.30160522460898</v>
      </c>
      <c r="O20" s="94">
        <v>0</v>
      </c>
      <c r="P20" s="94" t="s">
        <v>70</v>
      </c>
    </row>
    <row r="21" spans="1:18" x14ac:dyDescent="0.35">
      <c r="A21" s="94">
        <v>65</v>
      </c>
      <c r="B21" s="94" t="s">
        <v>366</v>
      </c>
      <c r="C21" s="94">
        <v>114.59999847412099</v>
      </c>
      <c r="D21" s="94">
        <v>115.199996948242</v>
      </c>
      <c r="E21" s="94">
        <v>0</v>
      </c>
      <c r="F21" s="94">
        <v>391.11007690429699</v>
      </c>
      <c r="G21" s="94">
        <v>0</v>
      </c>
      <c r="H21" s="94" t="s">
        <v>70</v>
      </c>
      <c r="I21" s="94">
        <v>65</v>
      </c>
      <c r="J21" s="94" t="s">
        <v>365</v>
      </c>
      <c r="K21" s="94">
        <v>0</v>
      </c>
      <c r="L21" s="94">
        <v>1.9999999552965199E-2</v>
      </c>
      <c r="M21" s="94">
        <v>0</v>
      </c>
      <c r="N21" s="94">
        <v>386.19430541992199</v>
      </c>
      <c r="O21" s="94">
        <v>0</v>
      </c>
      <c r="P21" s="94" t="s">
        <v>70</v>
      </c>
    </row>
    <row r="22" spans="1:18" x14ac:dyDescent="0.35">
      <c r="A22" s="94">
        <v>70</v>
      </c>
      <c r="B22" s="94" t="s">
        <v>364</v>
      </c>
      <c r="C22" s="94">
        <v>109.59999847412099</v>
      </c>
      <c r="D22" s="94">
        <v>110.199996948242</v>
      </c>
      <c r="E22" s="94">
        <v>0</v>
      </c>
      <c r="F22" s="94">
        <v>362.53152465820301</v>
      </c>
      <c r="G22" s="94">
        <v>0</v>
      </c>
      <c r="H22" s="94" t="s">
        <v>70</v>
      </c>
      <c r="I22" s="94">
        <v>70</v>
      </c>
      <c r="J22" s="94" t="s">
        <v>363</v>
      </c>
      <c r="K22" s="94">
        <v>0</v>
      </c>
      <c r="L22" s="94">
        <v>1.9999999552965199E-2</v>
      </c>
      <c r="M22" s="94">
        <v>0</v>
      </c>
      <c r="N22" s="94">
        <v>359.27328491210898</v>
      </c>
      <c r="O22" s="94">
        <v>0</v>
      </c>
      <c r="P22" s="94" t="s">
        <v>70</v>
      </c>
    </row>
    <row r="23" spans="1:18" x14ac:dyDescent="0.35">
      <c r="A23" s="94">
        <v>75</v>
      </c>
      <c r="B23" s="94" t="s">
        <v>362</v>
      </c>
      <c r="C23" s="94">
        <v>104.59999847412099</v>
      </c>
      <c r="D23" s="94">
        <v>105.199996948242</v>
      </c>
      <c r="E23" s="94">
        <v>0</v>
      </c>
      <c r="F23" s="94">
        <v>335.98007202148398</v>
      </c>
      <c r="G23" s="94">
        <v>0</v>
      </c>
      <c r="H23" s="94" t="s">
        <v>70</v>
      </c>
      <c r="I23" s="94">
        <v>75</v>
      </c>
      <c r="J23" s="94" t="s">
        <v>361</v>
      </c>
      <c r="K23" s="94">
        <v>0</v>
      </c>
      <c r="L23" s="94">
        <v>1.9999999552965199E-2</v>
      </c>
      <c r="M23" s="94">
        <v>0</v>
      </c>
      <c r="N23" s="94">
        <v>334.22726440429699</v>
      </c>
      <c r="O23" s="94">
        <v>0</v>
      </c>
      <c r="P23" s="94" t="s">
        <v>70</v>
      </c>
    </row>
    <row r="24" spans="1:18" x14ac:dyDescent="0.35">
      <c r="A24" s="94">
        <v>80</v>
      </c>
      <c r="B24" s="94" t="s">
        <v>360</v>
      </c>
      <c r="C24" s="94">
        <v>99.599998474121094</v>
      </c>
      <c r="D24" s="94">
        <v>100.25</v>
      </c>
      <c r="E24" s="94">
        <v>0</v>
      </c>
      <c r="F24" s="94">
        <v>337.01974487304699</v>
      </c>
      <c r="G24" s="94">
        <v>0</v>
      </c>
      <c r="H24" s="94" t="s">
        <v>70</v>
      </c>
      <c r="I24" s="94">
        <v>80</v>
      </c>
      <c r="J24" s="94" t="s">
        <v>359</v>
      </c>
      <c r="K24" s="94">
        <v>0</v>
      </c>
      <c r="L24" s="94">
        <v>1.9999999552965199E-2</v>
      </c>
      <c r="M24" s="94">
        <v>0</v>
      </c>
      <c r="N24" s="94">
        <v>310.79873657226602</v>
      </c>
      <c r="O24" s="94">
        <v>0</v>
      </c>
      <c r="P24" s="94" t="s">
        <v>70</v>
      </c>
    </row>
    <row r="25" spans="1:18" x14ac:dyDescent="0.35">
      <c r="A25" s="94">
        <v>85</v>
      </c>
      <c r="B25" s="94" t="s">
        <v>358</v>
      </c>
      <c r="C25" s="94">
        <v>94.599998474121094</v>
      </c>
      <c r="D25" s="94">
        <v>95.25</v>
      </c>
      <c r="E25" s="94">
        <v>0</v>
      </c>
      <c r="F25" s="94">
        <v>312.66439819335898</v>
      </c>
      <c r="G25" s="94">
        <v>0</v>
      </c>
      <c r="H25" s="94" t="s">
        <v>70</v>
      </c>
      <c r="I25" s="94">
        <v>85</v>
      </c>
      <c r="J25" s="94" t="s">
        <v>357</v>
      </c>
      <c r="K25" s="94">
        <v>0</v>
      </c>
      <c r="L25" s="94">
        <v>1.9999999552965199E-2</v>
      </c>
      <c r="M25" s="94">
        <v>0</v>
      </c>
      <c r="N25" s="94">
        <v>288.78237915039102</v>
      </c>
      <c r="O25" s="94">
        <v>0</v>
      </c>
      <c r="P25" s="94" t="s">
        <v>70</v>
      </c>
    </row>
    <row r="26" spans="1:18" x14ac:dyDescent="0.35">
      <c r="A26" s="94">
        <v>90</v>
      </c>
      <c r="B26" s="94" t="s">
        <v>356</v>
      </c>
      <c r="C26" s="94">
        <v>89.699996948242202</v>
      </c>
      <c r="D26" s="94">
        <v>90.199996948242202</v>
      </c>
      <c r="E26" s="94">
        <v>0</v>
      </c>
      <c r="F26" s="94">
        <v>304.58807373046898</v>
      </c>
      <c r="G26" s="94">
        <v>0</v>
      </c>
      <c r="H26" s="94" t="s">
        <v>70</v>
      </c>
      <c r="I26" s="94">
        <v>90</v>
      </c>
      <c r="J26" s="94" t="s">
        <v>355</v>
      </c>
      <c r="K26" s="94">
        <v>0</v>
      </c>
      <c r="L26" s="94">
        <v>1.9999999552965199E-2</v>
      </c>
      <c r="M26" s="94">
        <v>0</v>
      </c>
      <c r="N26" s="94">
        <v>268.00827026367199</v>
      </c>
      <c r="O26" s="94">
        <v>0</v>
      </c>
      <c r="P26" s="94" t="s">
        <v>70</v>
      </c>
    </row>
    <row r="27" spans="1:18" x14ac:dyDescent="0.35">
      <c r="A27" s="94">
        <v>95</v>
      </c>
      <c r="B27" s="94" t="s">
        <v>354</v>
      </c>
      <c r="C27" s="94">
        <v>84.599998474121094</v>
      </c>
      <c r="D27" s="94">
        <v>85.25</v>
      </c>
      <c r="E27" s="94">
        <v>0</v>
      </c>
      <c r="F27" s="94">
        <v>268.02166748046898</v>
      </c>
      <c r="G27" s="94">
        <v>0</v>
      </c>
      <c r="H27" s="94" t="s">
        <v>70</v>
      </c>
      <c r="I27" s="94">
        <v>95</v>
      </c>
      <c r="J27" s="94" t="s">
        <v>353</v>
      </c>
      <c r="K27" s="94">
        <v>0</v>
      </c>
      <c r="L27" s="94">
        <v>1.9999999552965199E-2</v>
      </c>
      <c r="M27" s="94">
        <v>0</v>
      </c>
      <c r="N27" s="94">
        <v>248.33003234863301</v>
      </c>
      <c r="O27" s="94">
        <v>0</v>
      </c>
      <c r="P27" s="94" t="s">
        <v>70</v>
      </c>
    </row>
    <row r="28" spans="1:18" x14ac:dyDescent="0.35">
      <c r="A28" s="94">
        <v>100</v>
      </c>
      <c r="B28" s="94" t="s">
        <v>352</v>
      </c>
      <c r="C28" s="94">
        <v>79.849998474121094</v>
      </c>
      <c r="D28" s="94">
        <v>80</v>
      </c>
      <c r="E28" s="94">
        <v>83.350006103515597</v>
      </c>
      <c r="F28" s="94">
        <v>247.43817138671901</v>
      </c>
      <c r="G28" s="94">
        <v>4</v>
      </c>
      <c r="H28" s="94" t="s">
        <v>70</v>
      </c>
      <c r="I28" s="94">
        <v>100</v>
      </c>
      <c r="J28" s="94" t="s">
        <v>351</v>
      </c>
      <c r="K28" s="94">
        <v>0</v>
      </c>
      <c r="L28" s="94">
        <v>1.00000016391277E-2</v>
      </c>
      <c r="M28" s="94">
        <v>0</v>
      </c>
      <c r="N28" s="94">
        <v>215.55989074707</v>
      </c>
      <c r="O28" s="94">
        <v>0</v>
      </c>
      <c r="P28" s="94" t="s">
        <v>70</v>
      </c>
      <c r="R28" s="49"/>
    </row>
    <row r="29" spans="1:18" x14ac:dyDescent="0.35">
      <c r="A29" s="94">
        <v>105</v>
      </c>
      <c r="B29" s="94" t="s">
        <v>350</v>
      </c>
      <c r="C29" s="94">
        <v>74.650001525878906</v>
      </c>
      <c r="D29" s="94">
        <v>75.25</v>
      </c>
      <c r="E29" s="94">
        <v>0</v>
      </c>
      <c r="F29" s="94">
        <v>240.42149353027301</v>
      </c>
      <c r="G29" s="94">
        <v>0</v>
      </c>
      <c r="H29" s="94" t="s">
        <v>70</v>
      </c>
      <c r="I29" s="94">
        <v>105</v>
      </c>
      <c r="J29" s="94" t="s">
        <v>349</v>
      </c>
      <c r="K29" s="94">
        <v>0</v>
      </c>
      <c r="L29" s="94">
        <v>1.9999999552965199E-2</v>
      </c>
      <c r="M29" s="94">
        <v>0</v>
      </c>
      <c r="N29" s="94">
        <v>211.79910278320301</v>
      </c>
      <c r="O29" s="94">
        <v>0</v>
      </c>
      <c r="P29" s="94" t="s">
        <v>70</v>
      </c>
    </row>
    <row r="30" spans="1:18" x14ac:dyDescent="0.35">
      <c r="A30" s="94">
        <v>110</v>
      </c>
      <c r="B30" s="94" t="s">
        <v>348</v>
      </c>
      <c r="C30" s="94">
        <v>69.699996948242202</v>
      </c>
      <c r="D30" s="94">
        <v>70.199996948242202</v>
      </c>
      <c r="E30" s="94">
        <v>0</v>
      </c>
      <c r="F30" s="94">
        <v>221.00694274902301</v>
      </c>
      <c r="G30" s="94">
        <v>0</v>
      </c>
      <c r="H30" s="94" t="s">
        <v>70</v>
      </c>
      <c r="I30" s="94">
        <v>110</v>
      </c>
      <c r="J30" s="94" t="s">
        <v>347</v>
      </c>
      <c r="K30" s="94">
        <v>0</v>
      </c>
      <c r="L30" s="94">
        <v>1.9999999552965199E-2</v>
      </c>
      <c r="M30" s="94">
        <v>0</v>
      </c>
      <c r="N30" s="94">
        <v>194.75111389160199</v>
      </c>
      <c r="O30" s="94">
        <v>0</v>
      </c>
      <c r="P30" s="94" t="s">
        <v>70</v>
      </c>
    </row>
    <row r="31" spans="1:18" x14ac:dyDescent="0.35">
      <c r="A31" s="94">
        <v>115</v>
      </c>
      <c r="B31" s="94" t="s">
        <v>346</v>
      </c>
      <c r="C31" s="94">
        <v>64.75</v>
      </c>
      <c r="D31" s="94">
        <v>65.199996948242202</v>
      </c>
      <c r="E31" s="94">
        <v>0</v>
      </c>
      <c r="F31" s="94">
        <v>210.77333068847699</v>
      </c>
      <c r="G31" s="94">
        <v>0</v>
      </c>
      <c r="H31" s="94" t="s">
        <v>70</v>
      </c>
      <c r="I31" s="94">
        <v>115</v>
      </c>
      <c r="J31" s="94" t="s">
        <v>345</v>
      </c>
      <c r="K31" s="94">
        <v>0</v>
      </c>
      <c r="L31" s="94">
        <v>1.9999999552965199E-2</v>
      </c>
      <c r="M31" s="94">
        <v>0</v>
      </c>
      <c r="N31" s="94">
        <v>178.39987182617199</v>
      </c>
      <c r="O31" s="94">
        <v>0</v>
      </c>
      <c r="P31" s="94" t="s">
        <v>70</v>
      </c>
    </row>
    <row r="32" spans="1:18" x14ac:dyDescent="0.35">
      <c r="A32" s="94">
        <v>120</v>
      </c>
      <c r="B32" s="94" t="s">
        <v>344</v>
      </c>
      <c r="C32" s="94">
        <v>59.849998474121101</v>
      </c>
      <c r="D32" s="94">
        <v>60</v>
      </c>
      <c r="E32" s="94">
        <v>59.350006103515597</v>
      </c>
      <c r="F32" s="94">
        <v>174.13723754882801</v>
      </c>
      <c r="G32" s="94">
        <v>2</v>
      </c>
      <c r="H32" s="94" t="s">
        <v>70</v>
      </c>
      <c r="I32" s="94">
        <v>120</v>
      </c>
      <c r="J32" s="94" t="s">
        <v>343</v>
      </c>
      <c r="K32" s="94">
        <v>0</v>
      </c>
      <c r="L32" s="94">
        <v>1.9999999552965199E-2</v>
      </c>
      <c r="M32" s="94">
        <v>0</v>
      </c>
      <c r="N32" s="94">
        <v>162.69258117675801</v>
      </c>
      <c r="O32" s="94">
        <v>0</v>
      </c>
      <c r="P32" s="94" t="s">
        <v>70</v>
      </c>
    </row>
    <row r="33" spans="1:16" x14ac:dyDescent="0.35">
      <c r="A33" s="94">
        <v>125</v>
      </c>
      <c r="B33" s="94" t="s">
        <v>342</v>
      </c>
      <c r="C33" s="94">
        <v>54.75</v>
      </c>
      <c r="D33" s="94">
        <v>55.199996948242202</v>
      </c>
      <c r="E33" s="94">
        <v>0</v>
      </c>
      <c r="F33" s="94">
        <v>174.660720825195</v>
      </c>
      <c r="G33" s="94">
        <v>0</v>
      </c>
      <c r="H33" s="94" t="s">
        <v>70</v>
      </c>
      <c r="I33" s="94">
        <v>125</v>
      </c>
      <c r="J33" s="94" t="s">
        <v>341</v>
      </c>
      <c r="K33" s="94">
        <v>0</v>
      </c>
      <c r="L33" s="94">
        <v>1.00000016391277E-2</v>
      </c>
      <c r="M33" s="94">
        <v>0</v>
      </c>
      <c r="N33" s="94">
        <v>138.04393005371099</v>
      </c>
      <c r="O33" s="94">
        <v>0</v>
      </c>
      <c r="P33" s="94" t="s">
        <v>70</v>
      </c>
    </row>
    <row r="34" spans="1:16" x14ac:dyDescent="0.35">
      <c r="A34" s="94">
        <v>130</v>
      </c>
      <c r="B34" s="94" t="s">
        <v>340</v>
      </c>
      <c r="C34" s="94">
        <v>49.799999237060497</v>
      </c>
      <c r="D34" s="94">
        <v>50.25</v>
      </c>
      <c r="E34" s="94">
        <v>0</v>
      </c>
      <c r="F34" s="94">
        <v>167.78370666503901</v>
      </c>
      <c r="G34" s="94">
        <v>0</v>
      </c>
      <c r="H34" s="94" t="s">
        <v>70</v>
      </c>
      <c r="I34" s="94">
        <v>130</v>
      </c>
      <c r="J34" s="94" t="s">
        <v>339</v>
      </c>
      <c r="K34" s="94">
        <v>0</v>
      </c>
      <c r="L34" s="94">
        <v>1.00000016391277E-2</v>
      </c>
      <c r="M34" s="94">
        <v>0</v>
      </c>
      <c r="N34" s="94">
        <v>124.23183441162099</v>
      </c>
      <c r="O34" s="94">
        <v>0</v>
      </c>
      <c r="P34" s="94" t="s">
        <v>70</v>
      </c>
    </row>
    <row r="35" spans="1:16" x14ac:dyDescent="0.35">
      <c r="A35" s="94">
        <v>135</v>
      </c>
      <c r="B35" s="94" t="s">
        <v>338</v>
      </c>
      <c r="C35" s="94">
        <v>44.799999237060497</v>
      </c>
      <c r="D35" s="94">
        <v>45.199996948242202</v>
      </c>
      <c r="E35" s="94">
        <v>46.860000610351598</v>
      </c>
      <c r="F35" s="94">
        <v>146.057205200195</v>
      </c>
      <c r="G35" s="94">
        <v>25</v>
      </c>
      <c r="H35" s="94" t="s">
        <v>70</v>
      </c>
      <c r="I35" s="94">
        <v>135</v>
      </c>
      <c r="J35" s="94" t="s">
        <v>337</v>
      </c>
      <c r="K35" s="94">
        <v>0</v>
      </c>
      <c r="L35" s="94">
        <v>1.00000016391277E-2</v>
      </c>
      <c r="M35" s="94">
        <v>1.00000016391277E-2</v>
      </c>
      <c r="N35" s="94">
        <v>110.86867523193401</v>
      </c>
      <c r="O35" s="94">
        <v>2</v>
      </c>
      <c r="P35" s="94" t="s">
        <v>70</v>
      </c>
    </row>
    <row r="36" spans="1:16" x14ac:dyDescent="0.35">
      <c r="A36" s="94">
        <v>140</v>
      </c>
      <c r="B36" s="94" t="s">
        <v>336</v>
      </c>
      <c r="C36" s="94">
        <v>39.849998474121101</v>
      </c>
      <c r="D36" s="94">
        <v>40</v>
      </c>
      <c r="E36" s="94">
        <v>41.830001831054702</v>
      </c>
      <c r="F36" s="94">
        <v>111.588623046875</v>
      </c>
      <c r="G36" s="94">
        <v>46</v>
      </c>
      <c r="H36" s="94" t="s">
        <v>70</v>
      </c>
      <c r="I36" s="94">
        <v>140</v>
      </c>
      <c r="J36" s="94" t="s">
        <v>335</v>
      </c>
      <c r="K36" s="94">
        <v>0</v>
      </c>
      <c r="L36" s="94">
        <v>1.00000016391277E-2</v>
      </c>
      <c r="M36" s="94">
        <v>1.00000016391277E-2</v>
      </c>
      <c r="N36" s="94">
        <v>97.899436950683594</v>
      </c>
      <c r="O36" s="94">
        <v>15</v>
      </c>
      <c r="P36" s="94" t="s">
        <v>70</v>
      </c>
    </row>
    <row r="37" spans="1:16" x14ac:dyDescent="0.35">
      <c r="A37" s="94">
        <v>145</v>
      </c>
      <c r="B37" s="94" t="s">
        <v>334</v>
      </c>
      <c r="C37" s="94">
        <v>34.849998474121101</v>
      </c>
      <c r="D37" s="94">
        <v>35</v>
      </c>
      <c r="E37" s="94">
        <v>37.029998779296903</v>
      </c>
      <c r="F37" s="94">
        <v>97.179100036621094</v>
      </c>
      <c r="G37" s="94">
        <v>59</v>
      </c>
      <c r="H37" s="94" t="s">
        <v>70</v>
      </c>
      <c r="I37" s="94">
        <v>145</v>
      </c>
      <c r="J37" s="94" t="s">
        <v>333</v>
      </c>
      <c r="K37" s="94">
        <v>0</v>
      </c>
      <c r="L37" s="94">
        <v>1.00000016391277E-2</v>
      </c>
      <c r="M37" s="94">
        <v>1.00000016391277E-2</v>
      </c>
      <c r="N37" s="94">
        <v>85.274269104003906</v>
      </c>
      <c r="O37" s="94">
        <v>37</v>
      </c>
      <c r="P37" s="94" t="s">
        <v>70</v>
      </c>
    </row>
    <row r="38" spans="1:16" x14ac:dyDescent="0.35">
      <c r="A38" s="94">
        <v>146</v>
      </c>
      <c r="B38" s="94" t="s">
        <v>332</v>
      </c>
      <c r="C38" s="94">
        <v>33.650001525878899</v>
      </c>
      <c r="D38" s="94">
        <v>34.199996948242202</v>
      </c>
      <c r="E38" s="94">
        <v>0</v>
      </c>
      <c r="F38" s="94">
        <v>94.345085144042997</v>
      </c>
      <c r="G38" s="94">
        <v>0</v>
      </c>
      <c r="H38" s="94" t="s">
        <v>70</v>
      </c>
      <c r="I38" s="94">
        <v>146</v>
      </c>
      <c r="J38" s="94" t="s">
        <v>331</v>
      </c>
      <c r="K38" s="94">
        <v>0</v>
      </c>
      <c r="L38" s="94">
        <v>1.9999999552965199E-2</v>
      </c>
      <c r="M38" s="94">
        <v>0</v>
      </c>
      <c r="N38" s="94">
        <v>88.948707580566406</v>
      </c>
      <c r="O38" s="94">
        <v>0</v>
      </c>
      <c r="P38" s="94" t="s">
        <v>70</v>
      </c>
    </row>
    <row r="39" spans="1:16" x14ac:dyDescent="0.35">
      <c r="A39" s="94">
        <v>147</v>
      </c>
      <c r="B39" s="94" t="s">
        <v>330</v>
      </c>
      <c r="C39" s="94">
        <v>32.75</v>
      </c>
      <c r="D39" s="94">
        <v>33.199996948242202</v>
      </c>
      <c r="E39" s="94">
        <v>0</v>
      </c>
      <c r="F39" s="94">
        <v>103.115242004395</v>
      </c>
      <c r="G39" s="94">
        <v>0</v>
      </c>
      <c r="H39" s="94" t="s">
        <v>70</v>
      </c>
      <c r="I39" s="94">
        <v>147</v>
      </c>
      <c r="J39" s="94" t="s">
        <v>329</v>
      </c>
      <c r="K39" s="94">
        <v>0</v>
      </c>
      <c r="L39" s="94">
        <v>1.9999999552965199E-2</v>
      </c>
      <c r="M39" s="94">
        <v>0</v>
      </c>
      <c r="N39" s="94">
        <v>86.322662353515597</v>
      </c>
      <c r="O39" s="94">
        <v>0</v>
      </c>
      <c r="P39" s="94" t="s">
        <v>70</v>
      </c>
    </row>
    <row r="40" spans="1:16" x14ac:dyDescent="0.35">
      <c r="A40" s="94">
        <v>148</v>
      </c>
      <c r="B40" s="94" t="s">
        <v>328</v>
      </c>
      <c r="C40" s="94">
        <v>31.75</v>
      </c>
      <c r="D40" s="94">
        <v>32.199996948242202</v>
      </c>
      <c r="E40" s="94">
        <v>0</v>
      </c>
      <c r="F40" s="94">
        <v>100.058227539063</v>
      </c>
      <c r="G40" s="94">
        <v>0</v>
      </c>
      <c r="H40" s="94" t="s">
        <v>70</v>
      </c>
      <c r="I40" s="94">
        <v>148</v>
      </c>
      <c r="J40" s="94" t="s">
        <v>327</v>
      </c>
      <c r="K40" s="94">
        <v>0</v>
      </c>
      <c r="L40" s="94">
        <v>1.9999999552965199E-2</v>
      </c>
      <c r="M40" s="94">
        <v>0</v>
      </c>
      <c r="N40" s="94">
        <v>83.707389831542997</v>
      </c>
      <c r="O40" s="94">
        <v>0</v>
      </c>
      <c r="P40" s="94" t="s">
        <v>70</v>
      </c>
    </row>
    <row r="41" spans="1:16" x14ac:dyDescent="0.35">
      <c r="A41" s="94">
        <v>149</v>
      </c>
      <c r="B41" s="94" t="s">
        <v>326</v>
      </c>
      <c r="C41" s="94">
        <v>30.75</v>
      </c>
      <c r="D41" s="94">
        <v>31.199996948242202</v>
      </c>
      <c r="E41" s="94">
        <v>0</v>
      </c>
      <c r="F41" s="94">
        <v>97.014099121093807</v>
      </c>
      <c r="G41" s="94">
        <v>0</v>
      </c>
      <c r="H41" s="94" t="s">
        <v>70</v>
      </c>
      <c r="I41" s="94">
        <v>149</v>
      </c>
      <c r="J41" s="94" t="s">
        <v>325</v>
      </c>
      <c r="K41" s="94">
        <v>0</v>
      </c>
      <c r="L41" s="94">
        <v>1.9999999552965199E-2</v>
      </c>
      <c r="M41" s="94">
        <v>0</v>
      </c>
      <c r="N41" s="94">
        <v>81.096458435058594</v>
      </c>
      <c r="O41" s="94">
        <v>0</v>
      </c>
      <c r="P41" s="94" t="s">
        <v>70</v>
      </c>
    </row>
    <row r="42" spans="1:16" x14ac:dyDescent="0.35">
      <c r="A42" s="94">
        <v>150</v>
      </c>
      <c r="B42" s="94" t="s">
        <v>324</v>
      </c>
      <c r="C42" s="94">
        <v>29.8999938964844</v>
      </c>
      <c r="D42" s="94">
        <v>30.050003051757798</v>
      </c>
      <c r="E42" s="94">
        <v>30</v>
      </c>
      <c r="F42" s="94">
        <v>93.982307434082003</v>
      </c>
      <c r="G42" s="94">
        <v>299</v>
      </c>
      <c r="H42" s="94" t="s">
        <v>70</v>
      </c>
      <c r="I42" s="94">
        <v>150</v>
      </c>
      <c r="J42" s="94" t="s">
        <v>323</v>
      </c>
      <c r="K42" s="94">
        <v>0</v>
      </c>
      <c r="L42" s="94">
        <v>1.9999999552965199E-2</v>
      </c>
      <c r="M42" s="94">
        <v>1.00000016391277E-2</v>
      </c>
      <c r="N42" s="94">
        <v>78.506256103515597</v>
      </c>
      <c r="O42" s="94">
        <v>52</v>
      </c>
      <c r="P42" s="94" t="s">
        <v>70</v>
      </c>
    </row>
    <row r="43" spans="1:16" x14ac:dyDescent="0.35">
      <c r="A43" s="94">
        <v>152.5</v>
      </c>
      <c r="B43" s="94" t="s">
        <v>322</v>
      </c>
      <c r="C43" s="94">
        <v>27.25</v>
      </c>
      <c r="D43" s="94">
        <v>27.699996948242202</v>
      </c>
      <c r="E43" s="94">
        <v>0</v>
      </c>
      <c r="F43" s="94">
        <v>86.452926635742202</v>
      </c>
      <c r="G43" s="94">
        <v>0</v>
      </c>
      <c r="H43" s="94" t="s">
        <v>70</v>
      </c>
      <c r="I43" s="94">
        <v>152.5</v>
      </c>
      <c r="J43" s="94" t="s">
        <v>321</v>
      </c>
      <c r="K43" s="94">
        <v>0</v>
      </c>
      <c r="L43" s="94">
        <v>1.9999999552965199E-2</v>
      </c>
      <c r="M43" s="94">
        <v>1.9999999552965199E-2</v>
      </c>
      <c r="N43" s="94">
        <v>72.063209533691406</v>
      </c>
      <c r="O43" s="94">
        <v>40</v>
      </c>
      <c r="P43" s="94" t="s">
        <v>70</v>
      </c>
    </row>
    <row r="44" spans="1:16" x14ac:dyDescent="0.35">
      <c r="A44" s="94">
        <v>155</v>
      </c>
      <c r="B44" s="94" t="s">
        <v>320</v>
      </c>
      <c r="C44" s="94">
        <v>24.5</v>
      </c>
      <c r="D44" s="94">
        <v>25.050003051757798</v>
      </c>
      <c r="E44" s="94">
        <v>24.4700012207031</v>
      </c>
      <c r="F44" s="94">
        <v>0</v>
      </c>
      <c r="G44" s="94">
        <v>840</v>
      </c>
      <c r="H44" s="94" t="s">
        <v>70</v>
      </c>
      <c r="I44" s="94">
        <v>155</v>
      </c>
      <c r="J44" s="94" t="s">
        <v>319</v>
      </c>
      <c r="K44" s="94">
        <v>1.00000016391277E-2</v>
      </c>
      <c r="L44" s="94">
        <v>1.9999999552965199E-2</v>
      </c>
      <c r="M44" s="94">
        <v>1.00000016391277E-2</v>
      </c>
      <c r="N44" s="94">
        <v>63.5898628234863</v>
      </c>
      <c r="O44" s="94">
        <v>232</v>
      </c>
      <c r="P44" s="94" t="s">
        <v>70</v>
      </c>
    </row>
    <row r="45" spans="1:16" x14ac:dyDescent="0.35">
      <c r="A45" s="94">
        <v>157.5</v>
      </c>
      <c r="B45" s="94" t="s">
        <v>318</v>
      </c>
      <c r="C45" s="94">
        <v>22.25</v>
      </c>
      <c r="D45" s="94">
        <v>22.699996948242202</v>
      </c>
      <c r="E45" s="94">
        <v>0</v>
      </c>
      <c r="F45" s="94">
        <v>71.574058532714801</v>
      </c>
      <c r="G45" s="94">
        <v>0</v>
      </c>
      <c r="H45" s="94" t="s">
        <v>70</v>
      </c>
      <c r="I45" s="94">
        <v>157.5</v>
      </c>
      <c r="J45" s="94" t="s">
        <v>317</v>
      </c>
      <c r="K45" s="94">
        <v>1.00000016391277E-2</v>
      </c>
      <c r="L45" s="94">
        <v>1.9999999552965199E-2</v>
      </c>
      <c r="M45" s="94">
        <v>1.00000016391277E-2</v>
      </c>
      <c r="N45" s="94">
        <v>57.422233581542997</v>
      </c>
      <c r="O45" s="94">
        <v>48</v>
      </c>
      <c r="P45" s="94" t="s">
        <v>70</v>
      </c>
    </row>
    <row r="46" spans="1:16" x14ac:dyDescent="0.35">
      <c r="A46" s="94">
        <v>160</v>
      </c>
      <c r="B46" s="94" t="s">
        <v>316</v>
      </c>
      <c r="C46" s="94">
        <v>19.949996948242202</v>
      </c>
      <c r="D46" s="94">
        <v>20.050003051757798</v>
      </c>
      <c r="E46" s="94">
        <v>19.75</v>
      </c>
      <c r="F46" s="94">
        <v>67.037017822265597</v>
      </c>
      <c r="G46" s="94">
        <v>5160</v>
      </c>
      <c r="H46" s="94" t="s">
        <v>70</v>
      </c>
      <c r="I46" s="94">
        <v>160</v>
      </c>
      <c r="J46" s="94" t="s">
        <v>315</v>
      </c>
      <c r="K46" s="94">
        <v>1.00000016391277E-2</v>
      </c>
      <c r="L46" s="94">
        <v>3.0000001192092899E-2</v>
      </c>
      <c r="M46" s="94">
        <v>1.9999999552965199E-2</v>
      </c>
      <c r="N46" s="94">
        <v>53.043041229247997</v>
      </c>
      <c r="O46" s="94">
        <v>5457</v>
      </c>
      <c r="P46" s="94" t="s">
        <v>70</v>
      </c>
    </row>
    <row r="47" spans="1:16" x14ac:dyDescent="0.35">
      <c r="A47" s="94">
        <v>162.5</v>
      </c>
      <c r="B47" s="94" t="s">
        <v>314</v>
      </c>
      <c r="C47" s="94">
        <v>17.2999992370606</v>
      </c>
      <c r="D47" s="94">
        <v>17.699996948242202</v>
      </c>
      <c r="E47" s="94">
        <v>20.7900085449219</v>
      </c>
      <c r="F47" s="94">
        <v>59.449611663818402</v>
      </c>
      <c r="G47" s="94">
        <v>2</v>
      </c>
      <c r="H47" s="94" t="s">
        <v>70</v>
      </c>
      <c r="I47" s="94">
        <v>162.5</v>
      </c>
      <c r="J47" s="94" t="s">
        <v>313</v>
      </c>
      <c r="K47" s="94">
        <v>1.9999999552965199E-2</v>
      </c>
      <c r="L47" s="94">
        <v>3.0000001192092899E-2</v>
      </c>
      <c r="M47" s="94">
        <v>3.0000001192092899E-2</v>
      </c>
      <c r="N47" s="94">
        <v>48.097736358642599</v>
      </c>
      <c r="O47" s="94">
        <v>494</v>
      </c>
      <c r="P47" s="94" t="s">
        <v>70</v>
      </c>
    </row>
    <row r="48" spans="1:16" x14ac:dyDescent="0.35">
      <c r="A48" s="94">
        <v>165</v>
      </c>
      <c r="B48" s="94" t="s">
        <v>312</v>
      </c>
      <c r="C48" s="94">
        <v>14.8500003814697</v>
      </c>
      <c r="D48" s="94">
        <v>15.050000190734901</v>
      </c>
      <c r="E48" s="94">
        <v>15.1000003814697</v>
      </c>
      <c r="F48" s="94">
        <v>46.6446533203125</v>
      </c>
      <c r="G48" s="94">
        <v>547</v>
      </c>
      <c r="H48" s="94" t="s">
        <v>70</v>
      </c>
      <c r="I48" s="94">
        <v>165</v>
      </c>
      <c r="J48" s="94" t="s">
        <v>311</v>
      </c>
      <c r="K48" s="94">
        <v>1.9999999552965199E-2</v>
      </c>
      <c r="L48" s="94">
        <v>3.9999999105930301E-2</v>
      </c>
      <c r="M48" s="94">
        <v>3.9999999105930301E-2</v>
      </c>
      <c r="N48" s="94">
        <v>42.730316162109403</v>
      </c>
      <c r="O48" s="94">
        <v>837</v>
      </c>
      <c r="P48" s="94" t="s">
        <v>70</v>
      </c>
    </row>
    <row r="49" spans="1:16" x14ac:dyDescent="0.35">
      <c r="A49" s="94">
        <v>167.5</v>
      </c>
      <c r="B49" s="94" t="s">
        <v>310</v>
      </c>
      <c r="C49" s="94">
        <v>12.449999809265099</v>
      </c>
      <c r="D49" s="94">
        <v>12.550000190734901</v>
      </c>
      <c r="E49" s="94">
        <v>11.949999809265099</v>
      </c>
      <c r="F49" s="94">
        <v>44.241397857666001</v>
      </c>
      <c r="G49" s="94">
        <v>180</v>
      </c>
      <c r="H49" s="94" t="s">
        <v>70</v>
      </c>
      <c r="I49" s="94">
        <v>167.5</v>
      </c>
      <c r="J49" s="94" t="s">
        <v>309</v>
      </c>
      <c r="K49" s="94">
        <v>3.9999999105930301E-2</v>
      </c>
      <c r="L49" s="94">
        <v>5.0000000745058101E-2</v>
      </c>
      <c r="M49" s="94">
        <v>3.9999999105930301E-2</v>
      </c>
      <c r="N49" s="94">
        <v>38.417755126953097</v>
      </c>
      <c r="O49" s="94">
        <v>1427</v>
      </c>
      <c r="P49" s="94" t="s">
        <v>70</v>
      </c>
    </row>
    <row r="50" spans="1:16" x14ac:dyDescent="0.35">
      <c r="A50" s="94">
        <v>170</v>
      </c>
      <c r="B50" s="94" t="s">
        <v>308</v>
      </c>
      <c r="C50" s="94">
        <v>9.9499998092651403</v>
      </c>
      <c r="D50" s="94">
        <v>10.1000003814697</v>
      </c>
      <c r="E50" s="94">
        <v>10.1599998474121</v>
      </c>
      <c r="F50" s="94">
        <v>38.1478462219238</v>
      </c>
      <c r="G50" s="94">
        <v>2298</v>
      </c>
      <c r="H50" s="94" t="s">
        <v>70</v>
      </c>
      <c r="I50" s="94">
        <v>170</v>
      </c>
      <c r="J50" s="94" t="s">
        <v>307</v>
      </c>
      <c r="K50" s="94">
        <v>5.9999998658895499E-2</v>
      </c>
      <c r="L50" s="94">
        <v>6.9999992847442599E-2</v>
      </c>
      <c r="M50" s="94">
        <v>5.9999998658895499E-2</v>
      </c>
      <c r="N50" s="94">
        <v>33.530582427978501</v>
      </c>
      <c r="O50" s="94">
        <v>4026</v>
      </c>
      <c r="P50" s="94" t="s">
        <v>70</v>
      </c>
    </row>
    <row r="51" spans="1:16" x14ac:dyDescent="0.35">
      <c r="A51" s="94">
        <v>172.5</v>
      </c>
      <c r="B51" s="94" t="s">
        <v>306</v>
      </c>
      <c r="C51" s="94">
        <v>7.5</v>
      </c>
      <c r="D51" s="94">
        <v>7.6500005722045898</v>
      </c>
      <c r="E51" s="94">
        <v>7.75</v>
      </c>
      <c r="F51" s="94">
        <v>32.434650421142599</v>
      </c>
      <c r="G51" s="94">
        <v>1219</v>
      </c>
      <c r="H51" s="94" t="s">
        <v>70</v>
      </c>
      <c r="I51" s="94">
        <v>172.5</v>
      </c>
      <c r="J51" s="94" t="s">
        <v>305</v>
      </c>
      <c r="K51" s="94">
        <v>0.110000014305115</v>
      </c>
      <c r="L51" s="94">
        <v>0.120000004768372</v>
      </c>
      <c r="M51" s="94">
        <v>0.10000002384185799</v>
      </c>
      <c r="N51" s="94">
        <v>29.361232757568398</v>
      </c>
      <c r="O51" s="94">
        <v>2679</v>
      </c>
      <c r="P51" s="94" t="s">
        <v>70</v>
      </c>
    </row>
    <row r="52" spans="1:16" x14ac:dyDescent="0.35">
      <c r="A52" s="94">
        <v>175</v>
      </c>
      <c r="B52" s="94" t="s">
        <v>304</v>
      </c>
      <c r="C52" s="94">
        <v>5.1499996185302699</v>
      </c>
      <c r="D52" s="94">
        <v>5.3000001907348597</v>
      </c>
      <c r="E52" s="94">
        <v>5.3400001525878897</v>
      </c>
      <c r="F52" s="94">
        <v>28.312463760376001</v>
      </c>
      <c r="G52" s="94">
        <v>4616</v>
      </c>
      <c r="H52" s="94" t="s">
        <v>70</v>
      </c>
      <c r="I52" s="94">
        <v>175</v>
      </c>
      <c r="J52" s="94" t="s">
        <v>303</v>
      </c>
      <c r="K52" s="94">
        <v>0.259999990463257</v>
      </c>
      <c r="L52" s="94">
        <v>0.270000040531158</v>
      </c>
      <c r="M52" s="94">
        <v>0.240000009536743</v>
      </c>
      <c r="N52" s="94">
        <v>26.486045837402301</v>
      </c>
      <c r="O52" s="94">
        <v>10586</v>
      </c>
      <c r="P52" s="94" t="s">
        <v>70</v>
      </c>
    </row>
    <row r="53" spans="1:16" x14ac:dyDescent="0.35">
      <c r="A53" s="94">
        <v>177.5</v>
      </c>
      <c r="B53" s="94" t="s">
        <v>302</v>
      </c>
      <c r="C53" s="94">
        <v>3.04999923706055</v>
      </c>
      <c r="D53" s="94">
        <v>3.1500005722045898</v>
      </c>
      <c r="E53" s="94">
        <v>3.1500005722045898</v>
      </c>
      <c r="F53" s="94">
        <v>25.193687438964801</v>
      </c>
      <c r="G53" s="94">
        <v>3187</v>
      </c>
      <c r="H53" s="94" t="s">
        <v>70</v>
      </c>
      <c r="I53" s="94">
        <v>177.5</v>
      </c>
      <c r="J53" s="94" t="s">
        <v>301</v>
      </c>
      <c r="K53" s="94">
        <v>0.63999998569488503</v>
      </c>
      <c r="L53" s="94">
        <v>0.64999997615814198</v>
      </c>
      <c r="M53" s="94">
        <v>0.61000001430511497</v>
      </c>
      <c r="N53" s="94">
        <v>24.123517990112301</v>
      </c>
      <c r="O53" s="94">
        <v>20550</v>
      </c>
      <c r="P53" s="94" t="s">
        <v>70</v>
      </c>
    </row>
    <row r="54" spans="1:16" x14ac:dyDescent="0.35">
      <c r="A54" s="94">
        <v>180</v>
      </c>
      <c r="B54" s="94" t="s">
        <v>300</v>
      </c>
      <c r="C54" s="94">
        <v>1.4400005340576201</v>
      </c>
      <c r="D54" s="94">
        <v>1.44999980926514</v>
      </c>
      <c r="E54" s="94">
        <v>1.5100002288818399</v>
      </c>
      <c r="F54" s="94">
        <v>22.9788208007813</v>
      </c>
      <c r="G54" s="94">
        <v>29146</v>
      </c>
      <c r="H54" s="94" t="s">
        <v>70</v>
      </c>
      <c r="I54" s="94">
        <v>180</v>
      </c>
      <c r="J54" s="94" t="s">
        <v>299</v>
      </c>
      <c r="K54" s="94">
        <v>1.4899997711181601</v>
      </c>
      <c r="L54" s="94">
        <v>1.5100002288818399</v>
      </c>
      <c r="M54" s="94">
        <v>1.4300003051757799</v>
      </c>
      <c r="N54" s="94">
        <v>22.251438140869102</v>
      </c>
      <c r="O54" s="94">
        <v>35888</v>
      </c>
      <c r="P54" s="94" t="s">
        <v>70</v>
      </c>
    </row>
    <row r="55" spans="1:16" x14ac:dyDescent="0.35">
      <c r="A55" s="94">
        <v>182.5</v>
      </c>
      <c r="B55" s="94" t="s">
        <v>298</v>
      </c>
      <c r="C55" s="94">
        <v>0.490000009536743</v>
      </c>
      <c r="D55" s="94">
        <v>0.5</v>
      </c>
      <c r="E55" s="94">
        <v>0.5</v>
      </c>
      <c r="F55" s="94">
        <v>21.9172248840332</v>
      </c>
      <c r="G55" s="94">
        <v>41065</v>
      </c>
      <c r="H55" s="94" t="s">
        <v>70</v>
      </c>
      <c r="I55" s="94">
        <v>182.5</v>
      </c>
      <c r="J55" s="94" t="s">
        <v>297</v>
      </c>
      <c r="K55" s="94">
        <v>3</v>
      </c>
      <c r="L55" s="94">
        <v>3.0500001907348602</v>
      </c>
      <c r="M55" s="94">
        <v>3</v>
      </c>
      <c r="N55" s="94">
        <v>20.425077438354499</v>
      </c>
      <c r="O55" s="94">
        <v>19286</v>
      </c>
      <c r="P55" s="94" t="s">
        <v>70</v>
      </c>
    </row>
    <row r="56" spans="1:16" x14ac:dyDescent="0.35">
      <c r="A56" s="94">
        <v>185</v>
      </c>
      <c r="B56" s="94" t="s">
        <v>296</v>
      </c>
      <c r="C56" s="94">
        <v>0.120000004768372</v>
      </c>
      <c r="D56" s="94">
        <v>0.129999995231628</v>
      </c>
      <c r="E56" s="94">
        <v>0.129999995231628</v>
      </c>
      <c r="F56" s="94">
        <v>21.676897048950199</v>
      </c>
      <c r="G56" s="94">
        <v>34002</v>
      </c>
      <c r="H56" s="94" t="s">
        <v>70</v>
      </c>
      <c r="I56" s="94">
        <v>185</v>
      </c>
      <c r="J56" s="94" t="s">
        <v>295</v>
      </c>
      <c r="K56" s="94">
        <v>5.0999994277954102</v>
      </c>
      <c r="L56" s="94">
        <v>5.25</v>
      </c>
      <c r="M56" s="94">
        <v>5.1500005722045898</v>
      </c>
      <c r="N56" s="94">
        <v>18.521205902099599</v>
      </c>
      <c r="O56" s="94">
        <v>3828</v>
      </c>
      <c r="P56" s="94" t="s">
        <v>70</v>
      </c>
    </row>
    <row r="57" spans="1:16" x14ac:dyDescent="0.35">
      <c r="A57" s="94">
        <v>187.5</v>
      </c>
      <c r="B57" s="94" t="s">
        <v>294</v>
      </c>
      <c r="C57" s="94">
        <v>3.9999999105930301E-2</v>
      </c>
      <c r="D57" s="94">
        <v>5.0000000745058101E-2</v>
      </c>
      <c r="E57" s="94">
        <v>3.9999999105930301E-2</v>
      </c>
      <c r="F57" s="94">
        <v>24.0946044921875</v>
      </c>
      <c r="G57" s="94">
        <v>10529</v>
      </c>
      <c r="H57" s="94" t="s">
        <v>70</v>
      </c>
      <c r="I57" s="94">
        <v>187.5</v>
      </c>
      <c r="J57" s="94" t="s">
        <v>293</v>
      </c>
      <c r="K57" s="94">
        <v>7.5500001907348597</v>
      </c>
      <c r="L57" s="94">
        <v>7.6500005722045898</v>
      </c>
      <c r="M57" s="94">
        <v>7.6000003814697301</v>
      </c>
      <c r="N57" s="94">
        <v>0</v>
      </c>
      <c r="O57" s="94">
        <v>919</v>
      </c>
      <c r="P57" s="94" t="s">
        <v>70</v>
      </c>
    </row>
    <row r="58" spans="1:16" x14ac:dyDescent="0.35">
      <c r="A58" s="94">
        <v>190</v>
      </c>
      <c r="B58" s="94" t="s">
        <v>292</v>
      </c>
      <c r="C58" s="94">
        <v>1.9999999552965199E-2</v>
      </c>
      <c r="D58" s="94">
        <v>3.0000001192092899E-2</v>
      </c>
      <c r="E58" s="94">
        <v>1.9999999552965199E-2</v>
      </c>
      <c r="F58" s="94">
        <v>27.8030891418457</v>
      </c>
      <c r="G58" s="94">
        <v>5495</v>
      </c>
      <c r="H58" s="94" t="s">
        <v>70</v>
      </c>
      <c r="I58" s="94">
        <v>190</v>
      </c>
      <c r="J58" s="94" t="s">
        <v>291</v>
      </c>
      <c r="K58" s="94">
        <v>9.6499996185302699</v>
      </c>
      <c r="L58" s="94">
        <v>10.199999809265099</v>
      </c>
      <c r="M58" s="94">
        <v>9.75</v>
      </c>
      <c r="N58" s="94">
        <v>0</v>
      </c>
      <c r="O58" s="94">
        <v>234</v>
      </c>
      <c r="P58" s="94" t="s">
        <v>70</v>
      </c>
    </row>
    <row r="59" spans="1:16" x14ac:dyDescent="0.35">
      <c r="A59" s="94">
        <v>192.5</v>
      </c>
      <c r="B59" s="94" t="s">
        <v>290</v>
      </c>
      <c r="C59" s="94">
        <v>1.00000016391277E-2</v>
      </c>
      <c r="D59" s="94">
        <v>1.9999999552965199E-2</v>
      </c>
      <c r="E59" s="94">
        <v>1.00000016391277E-2</v>
      </c>
      <c r="F59" s="94">
        <v>31.2986965179443</v>
      </c>
      <c r="G59" s="94">
        <v>300</v>
      </c>
      <c r="H59" s="94" t="s">
        <v>70</v>
      </c>
      <c r="I59" s="94">
        <v>192.5</v>
      </c>
      <c r="J59" s="94" t="s">
        <v>289</v>
      </c>
      <c r="K59" s="94">
        <v>12.3500003814697</v>
      </c>
      <c r="L59" s="94">
        <v>12.8500003814697</v>
      </c>
      <c r="M59" s="94">
        <v>11.1199998855591</v>
      </c>
      <c r="N59" s="94">
        <v>0</v>
      </c>
      <c r="O59" s="94">
        <v>10</v>
      </c>
      <c r="P59" s="94" t="s">
        <v>70</v>
      </c>
    </row>
    <row r="60" spans="1:16" x14ac:dyDescent="0.35">
      <c r="A60" s="94">
        <v>195</v>
      </c>
      <c r="B60" s="94" t="s">
        <v>288</v>
      </c>
      <c r="C60" s="94">
        <v>1.00000016391277E-2</v>
      </c>
      <c r="D60" s="94">
        <v>1.00000016391277E-2</v>
      </c>
      <c r="E60" s="94">
        <v>1.00000016391277E-2</v>
      </c>
      <c r="F60" s="94">
        <v>34.803840637207003</v>
      </c>
      <c r="G60" s="94">
        <v>89</v>
      </c>
      <c r="H60" s="94" t="s">
        <v>70</v>
      </c>
      <c r="I60" s="94">
        <v>195</v>
      </c>
      <c r="J60" s="94" t="s">
        <v>287</v>
      </c>
      <c r="K60" s="94">
        <v>14.8500003814697</v>
      </c>
      <c r="L60" s="94">
        <v>15.300000190734901</v>
      </c>
      <c r="M60" s="94">
        <v>0</v>
      </c>
      <c r="N60" s="94">
        <v>0</v>
      </c>
      <c r="O60" s="94">
        <v>0</v>
      </c>
      <c r="P60" s="94" t="s">
        <v>70</v>
      </c>
    </row>
    <row r="61" spans="1:16" x14ac:dyDescent="0.35">
      <c r="A61" s="94">
        <v>197.5</v>
      </c>
      <c r="B61" s="94" t="s">
        <v>286</v>
      </c>
      <c r="C61" s="94">
        <v>0</v>
      </c>
      <c r="D61" s="94">
        <v>1.00000016391277E-2</v>
      </c>
      <c r="E61" s="94">
        <v>0</v>
      </c>
      <c r="F61" s="94">
        <v>39.635139465332003</v>
      </c>
      <c r="G61" s="94">
        <v>0</v>
      </c>
      <c r="H61" s="94" t="s">
        <v>70</v>
      </c>
      <c r="I61" s="94">
        <v>197.5</v>
      </c>
      <c r="J61" s="94" t="s">
        <v>285</v>
      </c>
      <c r="K61" s="94">
        <v>17.350000381469702</v>
      </c>
      <c r="L61" s="94">
        <v>17.8500061035156</v>
      </c>
      <c r="M61" s="94">
        <v>0</v>
      </c>
      <c r="N61" s="94">
        <v>0</v>
      </c>
      <c r="O61" s="94">
        <v>0</v>
      </c>
      <c r="P61" s="94" t="s">
        <v>70</v>
      </c>
    </row>
    <row r="62" spans="1:16" x14ac:dyDescent="0.35">
      <c r="A62" s="94">
        <v>200</v>
      </c>
      <c r="B62" s="94" t="s">
        <v>284</v>
      </c>
      <c r="C62" s="94">
        <v>0</v>
      </c>
      <c r="D62" s="94">
        <v>1.00000016391277E-2</v>
      </c>
      <c r="E62" s="94">
        <v>1.00000016391277E-2</v>
      </c>
      <c r="F62" s="94">
        <v>44.343227386474602</v>
      </c>
      <c r="G62" s="94">
        <v>4</v>
      </c>
      <c r="H62" s="94" t="s">
        <v>70</v>
      </c>
      <c r="I62" s="94">
        <v>200</v>
      </c>
      <c r="J62" s="94" t="s">
        <v>283</v>
      </c>
      <c r="K62" s="94">
        <v>19.850000381469702</v>
      </c>
      <c r="L62" s="94">
        <v>20.300003051757798</v>
      </c>
      <c r="M62" s="94">
        <v>0</v>
      </c>
      <c r="N62" s="94">
        <v>0</v>
      </c>
      <c r="O62" s="94">
        <v>0</v>
      </c>
      <c r="P62" s="94" t="s">
        <v>70</v>
      </c>
    </row>
    <row r="63" spans="1:16" x14ac:dyDescent="0.35">
      <c r="A63" s="94">
        <v>202.5</v>
      </c>
      <c r="B63" s="94" t="s">
        <v>282</v>
      </c>
      <c r="C63" s="94">
        <v>0</v>
      </c>
      <c r="D63" s="94">
        <v>1.9999999552965199E-2</v>
      </c>
      <c r="E63" s="94">
        <v>0</v>
      </c>
      <c r="F63" s="94">
        <v>52.809989929199197</v>
      </c>
      <c r="G63" s="94">
        <v>0</v>
      </c>
      <c r="H63" s="94" t="s">
        <v>70</v>
      </c>
      <c r="I63" s="94">
        <v>202.5</v>
      </c>
      <c r="J63" s="94" t="s">
        <v>281</v>
      </c>
      <c r="K63" s="94">
        <v>22.350000381469702</v>
      </c>
      <c r="L63" s="94">
        <v>22.800003051757798</v>
      </c>
      <c r="M63" s="94">
        <v>0</v>
      </c>
      <c r="N63" s="94">
        <v>0</v>
      </c>
      <c r="O63" s="94">
        <v>0</v>
      </c>
      <c r="P63" s="94" t="s">
        <v>70</v>
      </c>
    </row>
    <row r="64" spans="1:16" x14ac:dyDescent="0.35">
      <c r="A64" s="94">
        <v>205</v>
      </c>
      <c r="B64" s="94" t="s">
        <v>280</v>
      </c>
      <c r="C64" s="94">
        <v>0</v>
      </c>
      <c r="D64" s="94">
        <v>1.9999999552965199E-2</v>
      </c>
      <c r="E64" s="94">
        <v>1.00000016391277E-2</v>
      </c>
      <c r="F64" s="94">
        <v>57.585605621337898</v>
      </c>
      <c r="G64" s="94">
        <v>5</v>
      </c>
      <c r="H64" s="94" t="s">
        <v>70</v>
      </c>
      <c r="I64" s="94">
        <v>205</v>
      </c>
      <c r="J64" s="94" t="s">
        <v>279</v>
      </c>
      <c r="K64" s="94">
        <v>24.850000381469702</v>
      </c>
      <c r="L64" s="94">
        <v>25.300003051757798</v>
      </c>
      <c r="M64" s="94">
        <v>0</v>
      </c>
      <c r="N64" s="94">
        <v>0</v>
      </c>
      <c r="O64" s="94">
        <v>0</v>
      </c>
      <c r="P64" s="94" t="s">
        <v>70</v>
      </c>
    </row>
    <row r="65" spans="1:16" x14ac:dyDescent="0.35">
      <c r="A65" s="94">
        <v>210</v>
      </c>
      <c r="B65" s="94" t="s">
        <v>278</v>
      </c>
      <c r="C65" s="94">
        <v>0</v>
      </c>
      <c r="D65" s="94">
        <v>1.00000016391277E-2</v>
      </c>
      <c r="E65" s="94">
        <v>0</v>
      </c>
      <c r="F65" s="94">
        <v>62.1502075195313</v>
      </c>
      <c r="G65" s="94">
        <v>0</v>
      </c>
      <c r="H65" s="94" t="s">
        <v>70</v>
      </c>
      <c r="I65" s="94">
        <v>210</v>
      </c>
      <c r="J65" s="94" t="s">
        <v>277</v>
      </c>
      <c r="K65" s="94">
        <v>29.850000381469702</v>
      </c>
      <c r="L65" s="94">
        <v>30.300003051757798</v>
      </c>
      <c r="M65" s="94">
        <v>0</v>
      </c>
      <c r="N65" s="94">
        <v>0</v>
      </c>
      <c r="O65" s="94">
        <v>0</v>
      </c>
      <c r="P65" s="94" t="s">
        <v>70</v>
      </c>
    </row>
    <row r="66" spans="1:16" x14ac:dyDescent="0.35">
      <c r="A66" s="94">
        <v>215</v>
      </c>
      <c r="B66" s="94" t="s">
        <v>276</v>
      </c>
      <c r="C66" s="94">
        <v>0</v>
      </c>
      <c r="D66" s="94">
        <v>1.00000016391277E-2</v>
      </c>
      <c r="E66" s="94">
        <v>0</v>
      </c>
      <c r="F66" s="94">
        <v>70.535102844238295</v>
      </c>
      <c r="G66" s="94">
        <v>0</v>
      </c>
      <c r="H66" s="94" t="s">
        <v>70</v>
      </c>
      <c r="I66" s="94">
        <v>215</v>
      </c>
      <c r="J66" s="94" t="s">
        <v>275</v>
      </c>
      <c r="K66" s="94">
        <v>34.849998474121101</v>
      </c>
      <c r="L66" s="94">
        <v>35.349990844726598</v>
      </c>
      <c r="M66" s="94">
        <v>0</v>
      </c>
      <c r="N66" s="94">
        <v>0</v>
      </c>
      <c r="O66" s="94">
        <v>0</v>
      </c>
      <c r="P66" s="94" t="s">
        <v>70</v>
      </c>
    </row>
    <row r="67" spans="1:16" x14ac:dyDescent="0.35">
      <c r="A67" s="94">
        <v>220</v>
      </c>
      <c r="B67" s="94" t="s">
        <v>274</v>
      </c>
      <c r="C67" s="94">
        <v>0</v>
      </c>
      <c r="D67" s="94">
        <v>1.00000016391277E-2</v>
      </c>
      <c r="E67" s="94">
        <v>0</v>
      </c>
      <c r="F67" s="94">
        <v>78.625274658203097</v>
      </c>
      <c r="G67" s="94">
        <v>0</v>
      </c>
      <c r="H67" s="94" t="s">
        <v>70</v>
      </c>
      <c r="I67" s="94">
        <v>220</v>
      </c>
      <c r="J67" s="94" t="s">
        <v>273</v>
      </c>
      <c r="K67" s="94">
        <v>39.849998474121101</v>
      </c>
      <c r="L67" s="94">
        <v>40.350006103515597</v>
      </c>
      <c r="M67" s="94">
        <v>0</v>
      </c>
      <c r="N67" s="94">
        <v>0</v>
      </c>
      <c r="O67" s="94">
        <v>0</v>
      </c>
      <c r="P67" s="94" t="s">
        <v>70</v>
      </c>
    </row>
    <row r="68" spans="1:16" x14ac:dyDescent="0.35">
      <c r="A68" s="94">
        <v>225</v>
      </c>
      <c r="B68" s="94" t="s">
        <v>272</v>
      </c>
      <c r="C68" s="94">
        <v>0</v>
      </c>
      <c r="D68" s="94">
        <v>1.00000016391277E-2</v>
      </c>
      <c r="E68" s="94">
        <v>0</v>
      </c>
      <c r="F68" s="94">
        <v>86.448211669921903</v>
      </c>
      <c r="G68" s="94">
        <v>0</v>
      </c>
      <c r="H68" s="94" t="s">
        <v>70</v>
      </c>
      <c r="I68" s="94">
        <v>225</v>
      </c>
      <c r="J68" s="94" t="s">
        <v>271</v>
      </c>
      <c r="K68" s="94">
        <v>44.849998474121101</v>
      </c>
      <c r="L68" s="94">
        <v>45.350006103515597</v>
      </c>
      <c r="M68" s="94">
        <v>0</v>
      </c>
      <c r="N68" s="94">
        <v>0</v>
      </c>
      <c r="O68" s="94">
        <v>0</v>
      </c>
      <c r="P68" s="94" t="s">
        <v>70</v>
      </c>
    </row>
    <row r="69" spans="1:16" x14ac:dyDescent="0.35">
      <c r="A69" s="94">
        <v>230</v>
      </c>
      <c r="B69" s="94" t="s">
        <v>270</v>
      </c>
      <c r="C69" s="94">
        <v>0</v>
      </c>
      <c r="D69" s="94">
        <v>1.00000016391277E-2</v>
      </c>
      <c r="E69" s="94">
        <v>0</v>
      </c>
      <c r="F69" s="94">
        <v>94.026206970214801</v>
      </c>
      <c r="G69" s="94">
        <v>0</v>
      </c>
      <c r="H69" s="94" t="s">
        <v>70</v>
      </c>
      <c r="I69" s="94">
        <v>230</v>
      </c>
      <c r="J69" s="94" t="s">
        <v>269</v>
      </c>
      <c r="K69" s="94">
        <v>49.849998474121101</v>
      </c>
      <c r="L69" s="94">
        <v>50.350006103515597</v>
      </c>
      <c r="M69" s="94">
        <v>0</v>
      </c>
      <c r="N69" s="94">
        <v>0</v>
      </c>
      <c r="O69" s="94">
        <v>0</v>
      </c>
      <c r="P69" s="94" t="s">
        <v>70</v>
      </c>
    </row>
    <row r="70" spans="1:16" x14ac:dyDescent="0.35">
      <c r="A70" s="94">
        <v>235</v>
      </c>
      <c r="B70" s="94" t="s">
        <v>268</v>
      </c>
      <c r="C70" s="94">
        <v>0</v>
      </c>
      <c r="D70" s="94">
        <v>1.00000016391277E-2</v>
      </c>
      <c r="E70" s="94">
        <v>0</v>
      </c>
      <c r="F70" s="94">
        <v>101.377891540527</v>
      </c>
      <c r="G70" s="94">
        <v>0</v>
      </c>
      <c r="H70" s="94" t="s">
        <v>70</v>
      </c>
      <c r="I70" s="94">
        <v>235</v>
      </c>
      <c r="J70" s="94" t="s">
        <v>267</v>
      </c>
      <c r="K70" s="94">
        <v>54.849998474121101</v>
      </c>
      <c r="L70" s="94">
        <v>55.2999877929688</v>
      </c>
      <c r="M70" s="94">
        <v>0</v>
      </c>
      <c r="N70" s="94">
        <v>0</v>
      </c>
      <c r="O70" s="94">
        <v>0</v>
      </c>
      <c r="P70" s="94" t="s">
        <v>70</v>
      </c>
    </row>
    <row r="71" spans="1:16" x14ac:dyDescent="0.35">
      <c r="A71" s="94">
        <v>240</v>
      </c>
      <c r="B71" s="94" t="s">
        <v>266</v>
      </c>
      <c r="C71" s="94">
        <v>0</v>
      </c>
      <c r="D71" s="94">
        <v>1.00000016391277E-2</v>
      </c>
      <c r="E71" s="94">
        <v>0</v>
      </c>
      <c r="F71" s="94">
        <v>108.519157409668</v>
      </c>
      <c r="G71" s="94">
        <v>0</v>
      </c>
      <c r="H71" s="94" t="s">
        <v>70</v>
      </c>
      <c r="I71" s="94">
        <v>240</v>
      </c>
      <c r="J71" s="94" t="s">
        <v>265</v>
      </c>
      <c r="K71" s="94">
        <v>59.849998474121101</v>
      </c>
      <c r="L71" s="94">
        <v>60.400009155273402</v>
      </c>
      <c r="M71" s="94">
        <v>0</v>
      </c>
      <c r="N71" s="94">
        <v>0</v>
      </c>
      <c r="O71" s="94">
        <v>0</v>
      </c>
      <c r="P71" s="94" t="s">
        <v>70</v>
      </c>
    </row>
    <row r="72" spans="1:16" x14ac:dyDescent="0.35">
      <c r="A72" s="94">
        <v>245</v>
      </c>
      <c r="B72" s="94" t="s">
        <v>264</v>
      </c>
      <c r="C72" s="94">
        <v>0</v>
      </c>
      <c r="D72" s="94">
        <v>1.00000016391277E-2</v>
      </c>
      <c r="E72" s="94">
        <v>1.00000016391277E-2</v>
      </c>
      <c r="F72" s="94">
        <v>115.46379852294901</v>
      </c>
      <c r="G72" s="94">
        <v>1</v>
      </c>
      <c r="H72" s="94" t="s">
        <v>70</v>
      </c>
      <c r="I72" s="94">
        <v>245</v>
      </c>
      <c r="J72" s="94" t="s">
        <v>263</v>
      </c>
      <c r="K72" s="94">
        <v>64.849998474121094</v>
      </c>
      <c r="L72" s="94">
        <v>65.399993896484403</v>
      </c>
      <c r="M72" s="94">
        <v>0</v>
      </c>
      <c r="N72" s="94">
        <v>0</v>
      </c>
      <c r="O72" s="94">
        <v>0</v>
      </c>
      <c r="P72" s="94" t="s">
        <v>70</v>
      </c>
    </row>
    <row r="73" spans="1:16" x14ac:dyDescent="0.35">
      <c r="A73" s="94">
        <v>250</v>
      </c>
      <c r="B73" s="94" t="s">
        <v>262</v>
      </c>
      <c r="C73" s="94">
        <v>0</v>
      </c>
      <c r="D73" s="94">
        <v>1.00000016391277E-2</v>
      </c>
      <c r="E73" s="94">
        <v>0</v>
      </c>
      <c r="F73" s="94">
        <v>122.22394561767599</v>
      </c>
      <c r="G73" s="94">
        <v>0</v>
      </c>
      <c r="H73" s="94" t="s">
        <v>70</v>
      </c>
      <c r="I73" s="94">
        <v>250</v>
      </c>
      <c r="J73" s="94" t="s">
        <v>261</v>
      </c>
      <c r="K73" s="94">
        <v>69.849998474121094</v>
      </c>
      <c r="L73" s="94">
        <v>70.400009155273395</v>
      </c>
      <c r="M73" s="94">
        <v>0</v>
      </c>
      <c r="N73" s="94">
        <v>0</v>
      </c>
      <c r="O73" s="94">
        <v>0</v>
      </c>
      <c r="P73" s="94" t="s">
        <v>70</v>
      </c>
    </row>
    <row r="74" spans="1:16" x14ac:dyDescent="0.35">
      <c r="A74" s="94">
        <v>255</v>
      </c>
      <c r="B74" s="94" t="s">
        <v>260</v>
      </c>
      <c r="C74" s="94">
        <v>0</v>
      </c>
      <c r="D74" s="94">
        <v>1.9999999552965199E-2</v>
      </c>
      <c r="E74" s="94">
        <v>0</v>
      </c>
      <c r="F74" s="94">
        <v>137.22412109375</v>
      </c>
      <c r="G74" s="94">
        <v>0</v>
      </c>
      <c r="H74" s="94" t="s">
        <v>70</v>
      </c>
      <c r="I74" s="94">
        <v>255</v>
      </c>
      <c r="J74" s="94" t="s">
        <v>259</v>
      </c>
      <c r="K74" s="94">
        <v>74.849998474121094</v>
      </c>
      <c r="L74" s="94">
        <v>75.350006103515597</v>
      </c>
      <c r="M74" s="94">
        <v>0</v>
      </c>
      <c r="N74" s="94">
        <v>0</v>
      </c>
      <c r="O74" s="94">
        <v>0</v>
      </c>
      <c r="P74" s="94" t="s">
        <v>70</v>
      </c>
    </row>
    <row r="75" spans="1:16" x14ac:dyDescent="0.35">
      <c r="A75" s="94">
        <v>260</v>
      </c>
      <c r="B75" s="94" t="s">
        <v>258</v>
      </c>
      <c r="C75" s="94">
        <v>0</v>
      </c>
      <c r="D75" s="94">
        <v>1.9999999552965199E-2</v>
      </c>
      <c r="E75" s="94">
        <v>0</v>
      </c>
      <c r="F75" s="94">
        <v>143.98323059082</v>
      </c>
      <c r="G75" s="94">
        <v>0</v>
      </c>
      <c r="H75" s="94" t="s">
        <v>70</v>
      </c>
      <c r="I75" s="94">
        <v>260</v>
      </c>
      <c r="J75" s="94" t="s">
        <v>257</v>
      </c>
      <c r="K75" s="94">
        <v>79.849998474121094</v>
      </c>
      <c r="L75" s="94">
        <v>80.399993896484403</v>
      </c>
      <c r="M75" s="94">
        <v>0</v>
      </c>
      <c r="N75" s="94">
        <v>0</v>
      </c>
      <c r="O75" s="94">
        <v>0</v>
      </c>
      <c r="P75" s="94" t="s">
        <v>70</v>
      </c>
    </row>
    <row r="76" spans="1:16" x14ac:dyDescent="0.35">
      <c r="A76" s="94">
        <v>265</v>
      </c>
      <c r="B76" s="94" t="s">
        <v>256</v>
      </c>
      <c r="C76" s="94">
        <v>0</v>
      </c>
      <c r="D76" s="94">
        <v>1.9999999552965199E-2</v>
      </c>
      <c r="E76" s="94">
        <v>0</v>
      </c>
      <c r="F76" s="94">
        <v>150.57589721679699</v>
      </c>
      <c r="G76" s="94">
        <v>0</v>
      </c>
      <c r="H76" s="94" t="s">
        <v>70</v>
      </c>
      <c r="I76" s="94">
        <v>265</v>
      </c>
      <c r="J76" s="94" t="s">
        <v>255</v>
      </c>
      <c r="K76" s="94">
        <v>84.849998474121094</v>
      </c>
      <c r="L76" s="94">
        <v>85.399993896484403</v>
      </c>
      <c r="M76" s="94">
        <v>0</v>
      </c>
      <c r="N76" s="94">
        <v>0</v>
      </c>
      <c r="O76" s="94">
        <v>0</v>
      </c>
      <c r="P76" s="94" t="s">
        <v>70</v>
      </c>
    </row>
    <row r="77" spans="1:16" x14ac:dyDescent="0.35">
      <c r="A77" s="94">
        <v>270</v>
      </c>
      <c r="B77" s="94" t="s">
        <v>254</v>
      </c>
      <c r="C77" s="94">
        <v>0</v>
      </c>
      <c r="D77" s="94">
        <v>1.9999999552965199E-2</v>
      </c>
      <c r="E77" s="94">
        <v>0</v>
      </c>
      <c r="F77" s="94">
        <v>157.01078796386699</v>
      </c>
      <c r="G77" s="94">
        <v>0</v>
      </c>
      <c r="H77" s="94" t="s">
        <v>70</v>
      </c>
      <c r="I77" s="94">
        <v>270</v>
      </c>
      <c r="J77" s="94" t="s">
        <v>253</v>
      </c>
      <c r="K77" s="94">
        <v>89.849998474121094</v>
      </c>
      <c r="L77" s="94">
        <v>90.399993896484403</v>
      </c>
      <c r="M77" s="94">
        <v>0</v>
      </c>
      <c r="N77" s="94">
        <v>0</v>
      </c>
      <c r="O77" s="94">
        <v>0</v>
      </c>
      <c r="P77" s="94" t="s">
        <v>70</v>
      </c>
    </row>
    <row r="78" spans="1:16" x14ac:dyDescent="0.35">
      <c r="A78" s="94">
        <v>275</v>
      </c>
      <c r="B78" s="94" t="s">
        <v>252</v>
      </c>
      <c r="C78" s="94">
        <v>0</v>
      </c>
      <c r="D78" s="94">
        <v>1.9999999552965199E-2</v>
      </c>
      <c r="E78" s="94">
        <v>0</v>
      </c>
      <c r="F78" s="94">
        <v>163.295822143555</v>
      </c>
      <c r="G78" s="94">
        <v>0</v>
      </c>
      <c r="H78" s="94" t="s">
        <v>70</v>
      </c>
      <c r="I78" s="94">
        <v>275</v>
      </c>
      <c r="J78" s="94" t="s">
        <v>251</v>
      </c>
      <c r="K78" s="94">
        <v>94.849998474121094</v>
      </c>
      <c r="L78" s="94">
        <v>95.399993896484403</v>
      </c>
      <c r="M78" s="94">
        <v>0</v>
      </c>
      <c r="N78" s="94">
        <v>0</v>
      </c>
      <c r="O78" s="94">
        <v>0</v>
      </c>
      <c r="P78" s="94" t="s">
        <v>70</v>
      </c>
    </row>
    <row r="79" spans="1:16" x14ac:dyDescent="0.35">
      <c r="A79" s="94">
        <v>280</v>
      </c>
      <c r="B79" s="94" t="s">
        <v>250</v>
      </c>
      <c r="C79" s="94">
        <v>0</v>
      </c>
      <c r="D79" s="94">
        <v>1.9999999552965199E-2</v>
      </c>
      <c r="E79" s="94">
        <v>0</v>
      </c>
      <c r="F79" s="94">
        <v>169.43829345703099</v>
      </c>
      <c r="G79" s="94">
        <v>0</v>
      </c>
      <c r="H79" s="94" t="s">
        <v>70</v>
      </c>
      <c r="I79" s="94">
        <v>280</v>
      </c>
      <c r="J79" s="94" t="s">
        <v>249</v>
      </c>
      <c r="K79" s="94">
        <v>99.849998474121094</v>
      </c>
      <c r="L79" s="94">
        <v>100.39999389648401</v>
      </c>
      <c r="M79" s="94">
        <v>0</v>
      </c>
      <c r="N79" s="94">
        <v>0</v>
      </c>
      <c r="O79" s="94">
        <v>0</v>
      </c>
      <c r="P79" s="94" t="s">
        <v>70</v>
      </c>
    </row>
    <row r="80" spans="1:16" x14ac:dyDescent="0.35">
      <c r="A80" s="94">
        <v>285</v>
      </c>
      <c r="B80" s="94" t="s">
        <v>248</v>
      </c>
      <c r="C80" s="94">
        <v>0</v>
      </c>
      <c r="D80" s="94">
        <v>1.9999999552965199E-2</v>
      </c>
      <c r="E80" s="94">
        <v>0</v>
      </c>
      <c r="F80" s="94">
        <v>175.44483947753901</v>
      </c>
      <c r="G80" s="94">
        <v>0</v>
      </c>
      <c r="H80" s="94" t="s">
        <v>70</v>
      </c>
      <c r="I80" s="94">
        <v>285</v>
      </c>
      <c r="J80" s="94" t="s">
        <v>247</v>
      </c>
      <c r="K80" s="94">
        <v>104.84999847412099</v>
      </c>
      <c r="L80" s="94">
        <v>105.39999389648401</v>
      </c>
      <c r="M80" s="94">
        <v>0</v>
      </c>
      <c r="N80" s="94">
        <v>0</v>
      </c>
      <c r="O80" s="94">
        <v>0</v>
      </c>
      <c r="P80" s="94" t="s">
        <v>70</v>
      </c>
    </row>
    <row r="81" spans="1:16" x14ac:dyDescent="0.35">
      <c r="A81" s="94">
        <v>290</v>
      </c>
      <c r="B81" s="94" t="s">
        <v>246</v>
      </c>
      <c r="C81" s="94">
        <v>0</v>
      </c>
      <c r="D81" s="94">
        <v>1.9999999552965199E-2</v>
      </c>
      <c r="E81" s="94">
        <v>0</v>
      </c>
      <c r="F81" s="94">
        <v>181.32165527343801</v>
      </c>
      <c r="G81" s="94">
        <v>0</v>
      </c>
      <c r="H81" s="94" t="s">
        <v>70</v>
      </c>
      <c r="I81" s="94">
        <v>290</v>
      </c>
      <c r="J81" s="94" t="s">
        <v>245</v>
      </c>
      <c r="K81" s="94">
        <v>109.84999847412099</v>
      </c>
      <c r="L81" s="94">
        <v>110.400009155273</v>
      </c>
      <c r="M81" s="94">
        <v>0</v>
      </c>
      <c r="N81" s="94">
        <v>0</v>
      </c>
      <c r="O81" s="94">
        <v>0</v>
      </c>
      <c r="P81" s="94" t="s">
        <v>70</v>
      </c>
    </row>
    <row r="82" spans="1:16" x14ac:dyDescent="0.35">
      <c r="A82" s="94">
        <v>295</v>
      </c>
      <c r="B82" s="94" t="s">
        <v>244</v>
      </c>
      <c r="C82" s="94">
        <v>0</v>
      </c>
      <c r="D82" s="94">
        <v>1.9999999552965199E-2</v>
      </c>
      <c r="E82" s="94">
        <v>0</v>
      </c>
      <c r="F82" s="94">
        <v>187.074462890625</v>
      </c>
      <c r="G82" s="94">
        <v>0</v>
      </c>
      <c r="H82" s="94" t="s">
        <v>70</v>
      </c>
      <c r="I82" s="94">
        <v>295</v>
      </c>
      <c r="J82" s="94" t="s">
        <v>243</v>
      </c>
      <c r="K82" s="94">
        <v>114.84999847412099</v>
      </c>
      <c r="L82" s="94">
        <v>115.400009155273</v>
      </c>
      <c r="M82" s="94">
        <v>0</v>
      </c>
      <c r="N82" s="94">
        <v>0</v>
      </c>
      <c r="O82" s="94">
        <v>0</v>
      </c>
      <c r="P82" s="94" t="s">
        <v>70</v>
      </c>
    </row>
    <row r="83" spans="1:16" x14ac:dyDescent="0.35">
      <c r="A83" s="94">
        <v>300</v>
      </c>
      <c r="B83" s="94" t="s">
        <v>242</v>
      </c>
      <c r="C83" s="94">
        <v>0</v>
      </c>
      <c r="D83" s="94">
        <v>1.9999999552965199E-2</v>
      </c>
      <c r="E83" s="94">
        <v>0</v>
      </c>
      <c r="F83" s="94">
        <v>192.70854187011699</v>
      </c>
      <c r="G83" s="94">
        <v>0</v>
      </c>
      <c r="H83" s="94" t="s">
        <v>70</v>
      </c>
      <c r="I83" s="94">
        <v>300</v>
      </c>
      <c r="J83" s="94" t="s">
        <v>241</v>
      </c>
      <c r="K83" s="94">
        <v>119.84999847412099</v>
      </c>
      <c r="L83" s="94">
        <v>120.39999389648401</v>
      </c>
      <c r="M83" s="94">
        <v>0</v>
      </c>
      <c r="N83" s="94">
        <v>0</v>
      </c>
      <c r="O83" s="94">
        <v>0</v>
      </c>
      <c r="P83" s="94" t="s">
        <v>70</v>
      </c>
    </row>
    <row r="84" spans="1:16" x14ac:dyDescent="0.35">
      <c r="A84" s="94">
        <v>305</v>
      </c>
      <c r="B84" s="94" t="s">
        <v>240</v>
      </c>
      <c r="C84" s="94">
        <v>0</v>
      </c>
      <c r="D84" s="94">
        <v>1.9999999552965199E-2</v>
      </c>
      <c r="E84" s="94">
        <v>0</v>
      </c>
      <c r="F84" s="94">
        <v>198.22885131835901</v>
      </c>
      <c r="G84" s="94">
        <v>0</v>
      </c>
      <c r="H84" s="94" t="s">
        <v>70</v>
      </c>
      <c r="I84" s="94">
        <v>305</v>
      </c>
      <c r="J84" s="94" t="s">
        <v>239</v>
      </c>
      <c r="K84" s="94">
        <v>124.84999847412099</v>
      </c>
      <c r="L84" s="94">
        <v>125.39999389648401</v>
      </c>
      <c r="M84" s="94">
        <v>0</v>
      </c>
      <c r="N84" s="94">
        <v>0</v>
      </c>
      <c r="O84" s="94">
        <v>0</v>
      </c>
      <c r="P84" s="94" t="s">
        <v>70</v>
      </c>
    </row>
    <row r="85" spans="1:16" x14ac:dyDescent="0.35">
      <c r="A85" s="94">
        <v>310</v>
      </c>
      <c r="B85" s="94" t="s">
        <v>238</v>
      </c>
      <c r="C85" s="94">
        <v>0</v>
      </c>
      <c r="D85" s="94">
        <v>1.9999999552965199E-2</v>
      </c>
      <c r="E85" s="94">
        <v>0</v>
      </c>
      <c r="F85" s="94">
        <v>203.64001464843801</v>
      </c>
      <c r="G85" s="94">
        <v>0</v>
      </c>
      <c r="H85" s="94" t="s">
        <v>70</v>
      </c>
      <c r="I85" s="94">
        <v>310</v>
      </c>
      <c r="J85" s="94" t="s">
        <v>237</v>
      </c>
      <c r="K85" s="94">
        <v>129.85000610351599</v>
      </c>
      <c r="L85" s="94">
        <v>130.39999389648401</v>
      </c>
      <c r="M85" s="94">
        <v>0</v>
      </c>
      <c r="N85" s="94">
        <v>0</v>
      </c>
      <c r="O85" s="94">
        <v>0</v>
      </c>
      <c r="P85" s="94" t="s">
        <v>70</v>
      </c>
    </row>
    <row r="86" spans="1:16" x14ac:dyDescent="0.35">
      <c r="A86" s="94">
        <v>315</v>
      </c>
      <c r="B86" s="94" t="s">
        <v>236</v>
      </c>
      <c r="C86" s="94">
        <v>0</v>
      </c>
      <c r="D86" s="94">
        <v>1.9999999552965199E-2</v>
      </c>
      <c r="E86" s="94">
        <v>0</v>
      </c>
      <c r="F86" s="94">
        <v>208.946365356445</v>
      </c>
      <c r="G86" s="94">
        <v>0</v>
      </c>
      <c r="H86" s="94" t="s">
        <v>70</v>
      </c>
      <c r="I86" s="94">
        <v>315</v>
      </c>
      <c r="J86" s="94" t="s">
        <v>235</v>
      </c>
      <c r="K86" s="94">
        <v>134.85000610351599</v>
      </c>
      <c r="L86" s="94">
        <v>135.39999389648401</v>
      </c>
      <c r="M86" s="94">
        <v>0</v>
      </c>
      <c r="N86" s="94">
        <v>0</v>
      </c>
      <c r="O86" s="94">
        <v>0</v>
      </c>
      <c r="P86" s="94" t="s">
        <v>70</v>
      </c>
    </row>
    <row r="87" spans="1:16" x14ac:dyDescent="0.35">
      <c r="A87" s="94">
        <v>320</v>
      </c>
      <c r="B87" s="94" t="s">
        <v>234</v>
      </c>
      <c r="C87" s="94">
        <v>0</v>
      </c>
      <c r="D87" s="94">
        <v>1.9999999552965199E-2</v>
      </c>
      <c r="E87" s="94">
        <v>0</v>
      </c>
      <c r="F87" s="94">
        <v>214.15194702148401</v>
      </c>
      <c r="G87" s="94">
        <v>0</v>
      </c>
      <c r="H87" s="94" t="s">
        <v>70</v>
      </c>
      <c r="I87" s="94">
        <v>320</v>
      </c>
      <c r="J87" s="94" t="s">
        <v>233</v>
      </c>
      <c r="K87" s="94">
        <v>139.85000610351599</v>
      </c>
      <c r="L87" s="94">
        <v>140.39999389648401</v>
      </c>
      <c r="M87" s="94">
        <v>0</v>
      </c>
      <c r="N87" s="94">
        <v>0</v>
      </c>
      <c r="O87" s="94">
        <v>0</v>
      </c>
      <c r="P87" s="94" t="s">
        <v>70</v>
      </c>
    </row>
    <row r="88" spans="1:16" x14ac:dyDescent="0.35">
      <c r="A88" s="94">
        <v>325</v>
      </c>
      <c r="B88" s="94" t="s">
        <v>232</v>
      </c>
      <c r="C88" s="94">
        <v>0</v>
      </c>
      <c r="D88" s="94">
        <v>1.9999999552965199E-2</v>
      </c>
      <c r="E88" s="94">
        <v>0</v>
      </c>
      <c r="F88" s="94">
        <v>219.26055908203099</v>
      </c>
      <c r="G88" s="94">
        <v>0</v>
      </c>
      <c r="H88" s="94" t="s">
        <v>70</v>
      </c>
      <c r="I88" s="94">
        <v>325</v>
      </c>
      <c r="J88" s="94" t="s">
        <v>231</v>
      </c>
      <c r="K88" s="94">
        <v>144.85000610351599</v>
      </c>
      <c r="L88" s="94">
        <v>145.39999389648401</v>
      </c>
      <c r="M88" s="94">
        <v>0</v>
      </c>
      <c r="N88" s="94">
        <v>0</v>
      </c>
      <c r="O88" s="94">
        <v>0</v>
      </c>
      <c r="P88" s="94" t="s">
        <v>70</v>
      </c>
    </row>
    <row r="89" spans="1:16" x14ac:dyDescent="0.35">
      <c r="A89" s="94">
        <v>330</v>
      </c>
      <c r="B89" s="94" t="s">
        <v>230</v>
      </c>
      <c r="C89" s="94">
        <v>0</v>
      </c>
      <c r="D89" s="94">
        <v>1.9999999552965199E-2</v>
      </c>
      <c r="E89" s="94">
        <v>0</v>
      </c>
      <c r="F89" s="94">
        <v>224.27583312988301</v>
      </c>
      <c r="G89" s="94">
        <v>0</v>
      </c>
      <c r="H89" s="94" t="s">
        <v>70</v>
      </c>
      <c r="I89" s="94">
        <v>330</v>
      </c>
      <c r="J89" s="94" t="s">
        <v>229</v>
      </c>
      <c r="K89" s="94">
        <v>149.85000610351599</v>
      </c>
      <c r="L89" s="94">
        <v>150.39999389648401</v>
      </c>
      <c r="M89" s="94">
        <v>0</v>
      </c>
      <c r="N89" s="94">
        <v>0</v>
      </c>
      <c r="O89" s="94">
        <v>0</v>
      </c>
      <c r="P89" s="94" t="s">
        <v>70</v>
      </c>
    </row>
    <row r="90" spans="1:16" x14ac:dyDescent="0.35">
      <c r="A90" s="94">
        <v>335</v>
      </c>
      <c r="B90" s="94" t="s">
        <v>228</v>
      </c>
      <c r="C90" s="94">
        <v>0</v>
      </c>
      <c r="D90" s="94">
        <v>1.9999999552965199E-2</v>
      </c>
      <c r="E90" s="94">
        <v>0</v>
      </c>
      <c r="F90" s="94">
        <v>229.201095581055</v>
      </c>
      <c r="G90" s="94">
        <v>0</v>
      </c>
      <c r="H90" s="94" t="s">
        <v>70</v>
      </c>
      <c r="I90" s="94">
        <v>335</v>
      </c>
      <c r="J90" s="94" t="s">
        <v>227</v>
      </c>
      <c r="K90" s="94">
        <v>154.85000610351599</v>
      </c>
      <c r="L90" s="94">
        <v>155.39999389648401</v>
      </c>
      <c r="M90" s="94">
        <v>0</v>
      </c>
      <c r="N90" s="94">
        <v>0</v>
      </c>
      <c r="O90" s="94">
        <v>0</v>
      </c>
      <c r="P90" s="94" t="s">
        <v>70</v>
      </c>
    </row>
    <row r="91" spans="1:16" x14ac:dyDescent="0.35">
      <c r="A91" s="94">
        <v>340</v>
      </c>
      <c r="B91" s="94" t="s">
        <v>226</v>
      </c>
      <c r="C91" s="94">
        <v>0</v>
      </c>
      <c r="D91" s="94">
        <v>1.9999999552965199E-2</v>
      </c>
      <c r="E91" s="94">
        <v>0</v>
      </c>
      <c r="F91" s="94">
        <v>234.03958129882801</v>
      </c>
      <c r="G91" s="94">
        <v>0</v>
      </c>
      <c r="H91" s="94" t="s">
        <v>70</v>
      </c>
      <c r="I91" s="94">
        <v>340</v>
      </c>
      <c r="J91" s="94" t="s">
        <v>225</v>
      </c>
      <c r="K91" s="94">
        <v>159.85000610351599</v>
      </c>
      <c r="L91" s="94">
        <v>160.39999389648401</v>
      </c>
      <c r="M91" s="94">
        <v>0</v>
      </c>
      <c r="N91" s="94">
        <v>0</v>
      </c>
      <c r="O91" s="94">
        <v>0</v>
      </c>
      <c r="P91" s="94" t="s">
        <v>70</v>
      </c>
    </row>
    <row r="92" spans="1:16" x14ac:dyDescent="0.35">
      <c r="A92" s="94">
        <v>345</v>
      </c>
      <c r="B92" s="94" t="s">
        <v>224</v>
      </c>
      <c r="C92" s="94">
        <v>0</v>
      </c>
      <c r="D92" s="94">
        <v>1.9999999552965199E-2</v>
      </c>
      <c r="E92" s="94">
        <v>0</v>
      </c>
      <c r="F92" s="94">
        <v>238.79428100585901</v>
      </c>
      <c r="G92" s="94">
        <v>0</v>
      </c>
      <c r="H92" s="94" t="s">
        <v>70</v>
      </c>
      <c r="I92" s="94">
        <v>345</v>
      </c>
      <c r="J92" s="94" t="s">
        <v>223</v>
      </c>
      <c r="K92" s="94">
        <v>164.85000610351599</v>
      </c>
      <c r="L92" s="94">
        <v>165.39999389648401</v>
      </c>
      <c r="M92" s="94">
        <v>0</v>
      </c>
      <c r="N92" s="94">
        <v>0</v>
      </c>
      <c r="O92" s="94">
        <v>0</v>
      </c>
      <c r="P92" s="94" t="s">
        <v>70</v>
      </c>
    </row>
    <row r="93" spans="1:16" x14ac:dyDescent="0.35">
      <c r="A93" s="94">
        <v>350</v>
      </c>
      <c r="B93" s="94" t="s">
        <v>222</v>
      </c>
      <c r="C93" s="94">
        <v>0</v>
      </c>
      <c r="D93" s="94">
        <v>1.9999999552965199E-2</v>
      </c>
      <c r="E93" s="94">
        <v>0</v>
      </c>
      <c r="F93" s="94">
        <v>243.46806335449199</v>
      </c>
      <c r="G93" s="94">
        <v>0</v>
      </c>
      <c r="H93" s="94" t="s">
        <v>70</v>
      </c>
      <c r="I93" s="94">
        <v>350</v>
      </c>
      <c r="J93" s="94" t="s">
        <v>221</v>
      </c>
      <c r="K93" s="94">
        <v>170.05000305175801</v>
      </c>
      <c r="L93" s="94">
        <v>170.25</v>
      </c>
      <c r="M93" s="94">
        <v>0</v>
      </c>
      <c r="N93" s="94">
        <v>256.36941528320301</v>
      </c>
      <c r="O93" s="94">
        <v>0</v>
      </c>
      <c r="P93" s="94" t="s">
        <v>70</v>
      </c>
    </row>
    <row r="94" spans="1:16" x14ac:dyDescent="0.35">
      <c r="A94" s="94">
        <v>355</v>
      </c>
      <c r="B94" s="94" t="s">
        <v>220</v>
      </c>
      <c r="C94" s="94">
        <v>0</v>
      </c>
      <c r="D94" s="94">
        <v>1.9999999552965199E-2</v>
      </c>
      <c r="E94" s="94">
        <v>0</v>
      </c>
      <c r="F94" s="94">
        <v>248.06362915039099</v>
      </c>
      <c r="G94" s="94">
        <v>0</v>
      </c>
      <c r="H94" s="94" t="s">
        <v>70</v>
      </c>
      <c r="I94" s="94">
        <v>355</v>
      </c>
      <c r="J94" s="94" t="s">
        <v>219</v>
      </c>
      <c r="K94" s="94">
        <v>175.05000305175801</v>
      </c>
      <c r="L94" s="94">
        <v>175.25</v>
      </c>
      <c r="M94" s="94">
        <v>0</v>
      </c>
      <c r="N94" s="94">
        <v>261.24200439453102</v>
      </c>
      <c r="O94" s="94">
        <v>0</v>
      </c>
      <c r="P94" s="94" t="s">
        <v>70</v>
      </c>
    </row>
    <row r="95" spans="1:16" x14ac:dyDescent="0.35">
      <c r="A95" s="94">
        <v>360</v>
      </c>
      <c r="B95" s="94" t="s">
        <v>218</v>
      </c>
      <c r="C95" s="94">
        <v>0</v>
      </c>
      <c r="D95" s="94">
        <v>1.00000016391277E-2</v>
      </c>
      <c r="E95" s="94">
        <v>1.00000016391277E-2</v>
      </c>
      <c r="F95" s="94">
        <v>238.76072692871099</v>
      </c>
      <c r="G95" s="94">
        <v>200</v>
      </c>
      <c r="H95" s="94" t="s">
        <v>70</v>
      </c>
      <c r="I95" s="94">
        <v>360</v>
      </c>
      <c r="J95" s="94" t="s">
        <v>217</v>
      </c>
      <c r="K95" s="94">
        <v>178</v>
      </c>
      <c r="L95" s="94">
        <v>182.25</v>
      </c>
      <c r="M95" s="94">
        <v>0</v>
      </c>
      <c r="N95" s="94">
        <v>0</v>
      </c>
      <c r="O95" s="94">
        <v>0</v>
      </c>
      <c r="P95" s="94" t="s">
        <v>70</v>
      </c>
    </row>
  </sheetData>
  <mergeCells count="2">
    <mergeCell ref="A1:H1"/>
    <mergeCell ref="A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2379-0284-C649-BB1C-F8FE8A659EF1}">
  <sheetPr codeName="Sheet9"/>
  <dimension ref="A1:P72"/>
  <sheetViews>
    <sheetView zoomScale="139" workbookViewId="0">
      <selection activeCell="K5" sqref="A5:K5"/>
    </sheetView>
  </sheetViews>
  <sheetFormatPr defaultColWidth="8.81640625" defaultRowHeight="14.5" x14ac:dyDescent="0.35"/>
  <cols>
    <col min="1" max="2" width="9.1796875" bestFit="1" customWidth="1"/>
    <col min="3" max="5" width="17" bestFit="1" customWidth="1"/>
    <col min="6" max="6" width="17" style="50" bestFit="1" customWidth="1"/>
    <col min="7" max="10" width="9.1796875" style="50" bestFit="1" customWidth="1"/>
    <col min="11" max="14" width="17" style="50" bestFit="1" customWidth="1"/>
    <col min="15" max="16" width="9.1796875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952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2.5</v>
      </c>
      <c r="B4" s="94" t="s">
        <v>208</v>
      </c>
      <c r="C4" s="94">
        <v>177.10000610351599</v>
      </c>
      <c r="D4" s="94">
        <v>177.75</v>
      </c>
      <c r="E4" s="94">
        <v>0</v>
      </c>
      <c r="F4" s="94">
        <v>530.32318115234398</v>
      </c>
      <c r="G4" s="94">
        <v>0</v>
      </c>
      <c r="H4" s="94" t="s">
        <v>70</v>
      </c>
      <c r="I4" s="94">
        <v>2.5</v>
      </c>
      <c r="J4" s="94" t="s">
        <v>207</v>
      </c>
      <c r="K4" s="94">
        <v>0</v>
      </c>
      <c r="L4" s="94">
        <v>1.9999999552965199E-2</v>
      </c>
      <c r="M4" s="94">
        <v>0</v>
      </c>
      <c r="N4" s="94">
        <v>475.44781494140602</v>
      </c>
      <c r="O4" s="94">
        <v>0</v>
      </c>
      <c r="P4" s="94" t="s">
        <v>70</v>
      </c>
    </row>
    <row r="5" spans="1:16" x14ac:dyDescent="0.35">
      <c r="A5" s="94">
        <v>5</v>
      </c>
      <c r="B5" s="94" t="s">
        <v>206</v>
      </c>
      <c r="C5" s="94">
        <v>174.64999389648401</v>
      </c>
      <c r="D5" s="94">
        <v>175.25</v>
      </c>
      <c r="E5" s="94">
        <v>0</v>
      </c>
      <c r="F5" s="94">
        <v>447.01809692382801</v>
      </c>
      <c r="G5" s="94">
        <v>0</v>
      </c>
      <c r="H5" s="94" t="s">
        <v>70</v>
      </c>
      <c r="I5" s="94">
        <v>5</v>
      </c>
      <c r="J5" s="94" t="s">
        <v>205</v>
      </c>
      <c r="K5" s="94">
        <v>0</v>
      </c>
      <c r="L5" s="94">
        <v>1.9999999552965199E-2</v>
      </c>
      <c r="M5" s="94">
        <v>0</v>
      </c>
      <c r="N5" s="94">
        <v>389.01168823242199</v>
      </c>
      <c r="O5" s="94">
        <v>0</v>
      </c>
      <c r="P5" s="94" t="s">
        <v>70</v>
      </c>
    </row>
    <row r="6" spans="1:16" x14ac:dyDescent="0.35">
      <c r="A6" s="94">
        <v>7.5</v>
      </c>
      <c r="B6" s="94" t="s">
        <v>204</v>
      </c>
      <c r="C6" s="94">
        <v>172.14999389648401</v>
      </c>
      <c r="D6" s="94">
        <v>172.75</v>
      </c>
      <c r="E6" s="94">
        <v>0</v>
      </c>
      <c r="F6" s="94">
        <v>386.90472412109398</v>
      </c>
      <c r="G6" s="94">
        <v>0</v>
      </c>
      <c r="H6" s="94" t="s">
        <v>70</v>
      </c>
      <c r="I6" s="94">
        <v>7.5</v>
      </c>
      <c r="J6" s="94" t="s">
        <v>203</v>
      </c>
      <c r="K6" s="94">
        <v>0</v>
      </c>
      <c r="L6" s="94">
        <v>1.9999999552965199E-2</v>
      </c>
      <c r="M6" s="94">
        <v>0</v>
      </c>
      <c r="N6" s="94">
        <v>341.11181640625</v>
      </c>
      <c r="O6" s="94">
        <v>0</v>
      </c>
      <c r="P6" s="94" t="s">
        <v>70</v>
      </c>
    </row>
    <row r="7" spans="1:16" x14ac:dyDescent="0.35">
      <c r="A7" s="94">
        <v>10</v>
      </c>
      <c r="B7" s="94" t="s">
        <v>202</v>
      </c>
      <c r="C7" s="94">
        <v>169.64999389648401</v>
      </c>
      <c r="D7" s="94">
        <v>170.25</v>
      </c>
      <c r="E7" s="94">
        <v>0</v>
      </c>
      <c r="F7" s="94">
        <v>345.47610473632801</v>
      </c>
      <c r="G7" s="94">
        <v>0</v>
      </c>
      <c r="H7" s="94" t="s">
        <v>70</v>
      </c>
      <c r="I7" s="94">
        <v>10</v>
      </c>
      <c r="J7" s="94" t="s">
        <v>201</v>
      </c>
      <c r="K7" s="94">
        <v>0</v>
      </c>
      <c r="L7" s="94">
        <v>1.9999999552965199E-2</v>
      </c>
      <c r="M7" s="94">
        <v>0</v>
      </c>
      <c r="N7" s="94">
        <v>308.16589355468801</v>
      </c>
      <c r="O7" s="94">
        <v>0</v>
      </c>
      <c r="P7" s="94" t="s">
        <v>70</v>
      </c>
    </row>
    <row r="8" spans="1:16" x14ac:dyDescent="0.35">
      <c r="A8" s="94">
        <v>12.5</v>
      </c>
      <c r="B8" s="94" t="s">
        <v>200</v>
      </c>
      <c r="C8" s="94">
        <v>167.14999389648401</v>
      </c>
      <c r="D8" s="94">
        <v>167.75</v>
      </c>
      <c r="E8" s="94">
        <v>0</v>
      </c>
      <c r="F8" s="94">
        <v>313.80056762695301</v>
      </c>
      <c r="G8" s="94">
        <v>0</v>
      </c>
      <c r="H8" s="94" t="s">
        <v>70</v>
      </c>
      <c r="I8" s="94">
        <v>12.5</v>
      </c>
      <c r="J8" s="94" t="s">
        <v>199</v>
      </c>
      <c r="K8" s="94">
        <v>0</v>
      </c>
      <c r="L8" s="94">
        <v>1.9999999552965199E-2</v>
      </c>
      <c r="M8" s="94">
        <v>0</v>
      </c>
      <c r="N8" s="94">
        <v>283.12039184570301</v>
      </c>
      <c r="O8" s="94">
        <v>0</v>
      </c>
      <c r="P8" s="94" t="s">
        <v>70</v>
      </c>
    </row>
    <row r="9" spans="1:16" x14ac:dyDescent="0.35">
      <c r="A9" s="94">
        <v>15</v>
      </c>
      <c r="B9" s="94" t="s">
        <v>198</v>
      </c>
      <c r="C9" s="94">
        <v>164.64999389648401</v>
      </c>
      <c r="D9" s="94">
        <v>165.30000305175801</v>
      </c>
      <c r="E9" s="94">
        <v>0</v>
      </c>
      <c r="F9" s="94">
        <v>300.89981079101602</v>
      </c>
      <c r="G9" s="94">
        <v>0</v>
      </c>
      <c r="H9" s="94" t="s">
        <v>70</v>
      </c>
      <c r="I9" s="94">
        <v>15</v>
      </c>
      <c r="J9" s="94" t="s">
        <v>197</v>
      </c>
      <c r="K9" s="94">
        <v>0</v>
      </c>
      <c r="L9" s="94">
        <v>1.9999999552965199E-2</v>
      </c>
      <c r="M9" s="94">
        <v>0</v>
      </c>
      <c r="N9" s="94">
        <v>262.99221801757801</v>
      </c>
      <c r="O9" s="94">
        <v>0</v>
      </c>
      <c r="P9" s="94" t="s">
        <v>70</v>
      </c>
    </row>
    <row r="10" spans="1:16" x14ac:dyDescent="0.35">
      <c r="A10" s="94">
        <v>17.5</v>
      </c>
      <c r="B10" s="94" t="s">
        <v>196</v>
      </c>
      <c r="C10" s="94">
        <v>162.14999389648401</v>
      </c>
      <c r="D10" s="94">
        <v>162.80000305175801</v>
      </c>
      <c r="E10" s="94">
        <v>0</v>
      </c>
      <c r="F10" s="94">
        <v>279.07019042968801</v>
      </c>
      <c r="G10" s="94">
        <v>0</v>
      </c>
      <c r="H10" s="94" t="s">
        <v>70</v>
      </c>
      <c r="I10" s="94">
        <v>17.5</v>
      </c>
      <c r="J10" s="94" t="s">
        <v>195</v>
      </c>
      <c r="K10" s="94">
        <v>0</v>
      </c>
      <c r="L10" s="94">
        <v>1.9999999552965199E-2</v>
      </c>
      <c r="M10" s="94">
        <v>0</v>
      </c>
      <c r="N10" s="94">
        <v>246.16046142578099</v>
      </c>
      <c r="O10" s="94">
        <v>0</v>
      </c>
      <c r="P10" s="94" t="s">
        <v>70</v>
      </c>
    </row>
    <row r="11" spans="1:16" x14ac:dyDescent="0.35">
      <c r="A11" s="94">
        <v>20</v>
      </c>
      <c r="B11" s="94" t="s">
        <v>194</v>
      </c>
      <c r="C11" s="94">
        <v>159.64999389648401</v>
      </c>
      <c r="D11" s="94">
        <v>160.30000305175801</v>
      </c>
      <c r="E11" s="94">
        <v>0</v>
      </c>
      <c r="F11" s="94">
        <v>260.22454833984398</v>
      </c>
      <c r="G11" s="94">
        <v>0</v>
      </c>
      <c r="H11" s="94" t="s">
        <v>70</v>
      </c>
      <c r="I11" s="94">
        <v>20</v>
      </c>
      <c r="J11" s="94" t="s">
        <v>193</v>
      </c>
      <c r="K11" s="94">
        <v>0</v>
      </c>
      <c r="L11" s="94">
        <v>1.9999999552965199E-2</v>
      </c>
      <c r="M11" s="94">
        <v>0</v>
      </c>
      <c r="N11" s="94">
        <v>231.73435974121099</v>
      </c>
      <c r="O11" s="94">
        <v>0</v>
      </c>
      <c r="P11" s="94" t="s">
        <v>70</v>
      </c>
    </row>
    <row r="12" spans="1:16" x14ac:dyDescent="0.35">
      <c r="A12" s="94">
        <v>22.5</v>
      </c>
      <c r="B12" s="94" t="s">
        <v>192</v>
      </c>
      <c r="C12" s="94">
        <v>157.14999389648401</v>
      </c>
      <c r="D12" s="94">
        <v>157.80000305175801</v>
      </c>
      <c r="E12" s="94">
        <v>0</v>
      </c>
      <c r="F12" s="94">
        <v>243.60067749023401</v>
      </c>
      <c r="G12" s="94">
        <v>0</v>
      </c>
      <c r="H12" s="94" t="s">
        <v>70</v>
      </c>
      <c r="I12" s="94">
        <v>22.5</v>
      </c>
      <c r="J12" s="94" t="s">
        <v>191</v>
      </c>
      <c r="K12" s="94">
        <v>0</v>
      </c>
      <c r="L12" s="94">
        <v>1.9999999552965199E-2</v>
      </c>
      <c r="M12" s="94">
        <v>0</v>
      </c>
      <c r="N12" s="94">
        <v>219.11151123046901</v>
      </c>
      <c r="O12" s="94">
        <v>0</v>
      </c>
      <c r="P12" s="94" t="s">
        <v>70</v>
      </c>
    </row>
    <row r="13" spans="1:16" x14ac:dyDescent="0.35">
      <c r="A13" s="94">
        <v>25</v>
      </c>
      <c r="B13" s="94" t="s">
        <v>190</v>
      </c>
      <c r="C13" s="94">
        <v>154.69999694824199</v>
      </c>
      <c r="D13" s="94">
        <v>155.30000305175801</v>
      </c>
      <c r="E13" s="94">
        <v>0</v>
      </c>
      <c r="F13" s="94">
        <v>238.34634399414099</v>
      </c>
      <c r="G13" s="94">
        <v>0</v>
      </c>
      <c r="H13" s="94" t="s">
        <v>70</v>
      </c>
      <c r="I13" s="94">
        <v>25</v>
      </c>
      <c r="J13" s="94" t="s">
        <v>189</v>
      </c>
      <c r="K13" s="94">
        <v>0</v>
      </c>
      <c r="L13" s="94">
        <v>1.9999999552965199E-2</v>
      </c>
      <c r="M13" s="94">
        <v>0</v>
      </c>
      <c r="N13" s="94">
        <v>207.89537048339801</v>
      </c>
      <c r="O13" s="94">
        <v>0</v>
      </c>
      <c r="P13" s="94" t="s">
        <v>70</v>
      </c>
    </row>
    <row r="14" spans="1:16" x14ac:dyDescent="0.35">
      <c r="A14" s="94">
        <v>30</v>
      </c>
      <c r="B14" s="94" t="s">
        <v>188</v>
      </c>
      <c r="C14" s="94">
        <v>149.69999694824199</v>
      </c>
      <c r="D14" s="94">
        <v>150.30000305175801</v>
      </c>
      <c r="E14" s="94">
        <v>0</v>
      </c>
      <c r="F14" s="94">
        <v>212.60810852050801</v>
      </c>
      <c r="G14" s="94">
        <v>0</v>
      </c>
      <c r="H14" s="94" t="s">
        <v>70</v>
      </c>
      <c r="I14" s="94">
        <v>30</v>
      </c>
      <c r="J14" s="94" t="s">
        <v>187</v>
      </c>
      <c r="K14" s="94">
        <v>0</v>
      </c>
      <c r="L14" s="94">
        <v>1.9999999552965199E-2</v>
      </c>
      <c r="M14" s="94">
        <v>0</v>
      </c>
      <c r="N14" s="94">
        <v>188.64878845214801</v>
      </c>
      <c r="O14" s="94">
        <v>0</v>
      </c>
      <c r="P14" s="94" t="s">
        <v>70</v>
      </c>
    </row>
    <row r="15" spans="1:16" x14ac:dyDescent="0.35">
      <c r="A15" s="94">
        <v>35</v>
      </c>
      <c r="B15" s="94" t="s">
        <v>186</v>
      </c>
      <c r="C15" s="94">
        <v>144.69999694824199</v>
      </c>
      <c r="D15" s="94">
        <v>145.35000610351599</v>
      </c>
      <c r="E15" s="94">
        <v>0</v>
      </c>
      <c r="F15" s="94">
        <v>198.45959472656301</v>
      </c>
      <c r="G15" s="94">
        <v>0</v>
      </c>
      <c r="H15" s="94" t="s">
        <v>70</v>
      </c>
      <c r="I15" s="94">
        <v>35</v>
      </c>
      <c r="J15" s="94" t="s">
        <v>185</v>
      </c>
      <c r="K15" s="94">
        <v>0</v>
      </c>
      <c r="L15" s="94">
        <v>1.9999999552965199E-2</v>
      </c>
      <c r="M15" s="94">
        <v>0</v>
      </c>
      <c r="N15" s="94">
        <v>172.51719665527301</v>
      </c>
      <c r="O15" s="94">
        <v>0</v>
      </c>
      <c r="P15" s="94" t="s">
        <v>70</v>
      </c>
    </row>
    <row r="16" spans="1:16" x14ac:dyDescent="0.35">
      <c r="A16" s="94">
        <v>40</v>
      </c>
      <c r="B16" s="94" t="s">
        <v>184</v>
      </c>
      <c r="C16" s="94">
        <v>139.69999694824199</v>
      </c>
      <c r="D16" s="94">
        <v>140.35000610351599</v>
      </c>
      <c r="E16" s="94">
        <v>0</v>
      </c>
      <c r="F16" s="94">
        <v>179.56115722656301</v>
      </c>
      <c r="G16" s="94">
        <v>0</v>
      </c>
      <c r="H16" s="94" t="s">
        <v>70</v>
      </c>
      <c r="I16" s="94">
        <v>40</v>
      </c>
      <c r="J16" s="94" t="s">
        <v>183</v>
      </c>
      <c r="K16" s="94">
        <v>0</v>
      </c>
      <c r="L16" s="94">
        <v>1.9999999552965199E-2</v>
      </c>
      <c r="M16" s="94">
        <v>0</v>
      </c>
      <c r="N16" s="94">
        <v>158.64016723632801</v>
      </c>
      <c r="O16" s="94">
        <v>0</v>
      </c>
      <c r="P16" s="94" t="s">
        <v>70</v>
      </c>
    </row>
    <row r="17" spans="1:16" x14ac:dyDescent="0.35">
      <c r="A17" s="94">
        <v>45</v>
      </c>
      <c r="B17" s="94" t="s">
        <v>182</v>
      </c>
      <c r="C17" s="94">
        <v>134.75</v>
      </c>
      <c r="D17" s="94">
        <v>135.35000610351599</v>
      </c>
      <c r="E17" s="94">
        <v>0</v>
      </c>
      <c r="F17" s="94">
        <v>169.170486450195</v>
      </c>
      <c r="G17" s="94">
        <v>0</v>
      </c>
      <c r="H17" s="94" t="s">
        <v>70</v>
      </c>
      <c r="I17" s="94">
        <v>45</v>
      </c>
      <c r="J17" s="94" t="s">
        <v>181</v>
      </c>
      <c r="K17" s="94">
        <v>0</v>
      </c>
      <c r="L17" s="94">
        <v>1.9999999552965199E-2</v>
      </c>
      <c r="M17" s="94">
        <v>0</v>
      </c>
      <c r="N17" s="94">
        <v>146.46286010742199</v>
      </c>
      <c r="O17" s="94">
        <v>0</v>
      </c>
      <c r="P17" s="94" t="s">
        <v>70</v>
      </c>
    </row>
    <row r="18" spans="1:16" x14ac:dyDescent="0.35">
      <c r="A18" s="94">
        <v>50</v>
      </c>
      <c r="B18" s="94" t="s">
        <v>180</v>
      </c>
      <c r="C18" s="94">
        <v>129.75</v>
      </c>
      <c r="D18" s="94">
        <v>130.35000610351599</v>
      </c>
      <c r="E18" s="94">
        <v>0</v>
      </c>
      <c r="F18" s="94">
        <v>154.22357177734401</v>
      </c>
      <c r="G18" s="94">
        <v>0</v>
      </c>
      <c r="H18" s="94" t="s">
        <v>70</v>
      </c>
      <c r="I18" s="94">
        <v>50</v>
      </c>
      <c r="J18" s="94" t="s">
        <v>179</v>
      </c>
      <c r="K18" s="94">
        <v>0</v>
      </c>
      <c r="L18" s="94">
        <v>1.9999999552965199E-2</v>
      </c>
      <c r="M18" s="94">
        <v>0</v>
      </c>
      <c r="N18" s="94">
        <v>135.61595153808599</v>
      </c>
      <c r="O18" s="94">
        <v>0</v>
      </c>
      <c r="P18" s="94" t="s">
        <v>70</v>
      </c>
    </row>
    <row r="19" spans="1:16" x14ac:dyDescent="0.35">
      <c r="A19" s="94">
        <v>55</v>
      </c>
      <c r="B19" s="94" t="s">
        <v>178</v>
      </c>
      <c r="C19" s="94">
        <v>124.75</v>
      </c>
      <c r="D19" s="94">
        <v>125.35000610351599</v>
      </c>
      <c r="E19" s="94">
        <v>0</v>
      </c>
      <c r="F19" s="94">
        <v>140.57704162597699</v>
      </c>
      <c r="G19" s="94">
        <v>0</v>
      </c>
      <c r="H19" s="94" t="s">
        <v>70</v>
      </c>
      <c r="I19" s="94">
        <v>55</v>
      </c>
      <c r="J19" s="94" t="s">
        <v>177</v>
      </c>
      <c r="K19" s="94">
        <v>0</v>
      </c>
      <c r="L19" s="94">
        <v>1.9999999552965199E-2</v>
      </c>
      <c r="M19" s="94">
        <v>0</v>
      </c>
      <c r="N19" s="94">
        <v>125.834014892578</v>
      </c>
      <c r="O19" s="94">
        <v>0</v>
      </c>
      <c r="P19" s="94" t="s">
        <v>70</v>
      </c>
    </row>
    <row r="20" spans="1:16" x14ac:dyDescent="0.35">
      <c r="A20" s="94">
        <v>60</v>
      </c>
      <c r="B20" s="94" t="s">
        <v>176</v>
      </c>
      <c r="C20" s="94">
        <v>119.75</v>
      </c>
      <c r="D20" s="94">
        <v>120.400009155273</v>
      </c>
      <c r="E20" s="94">
        <v>0</v>
      </c>
      <c r="F20" s="94">
        <v>133.63409423828099</v>
      </c>
      <c r="G20" s="94">
        <v>0</v>
      </c>
      <c r="H20" s="94" t="s">
        <v>70</v>
      </c>
      <c r="I20" s="94">
        <v>60</v>
      </c>
      <c r="J20" s="94" t="s">
        <v>175</v>
      </c>
      <c r="K20" s="94">
        <v>0</v>
      </c>
      <c r="L20" s="94">
        <v>1.9999999552965199E-2</v>
      </c>
      <c r="M20" s="94">
        <v>0</v>
      </c>
      <c r="N20" s="94">
        <v>116.925903320313</v>
      </c>
      <c r="O20" s="94">
        <v>0</v>
      </c>
      <c r="P20" s="94" t="s">
        <v>70</v>
      </c>
    </row>
    <row r="21" spans="1:16" x14ac:dyDescent="0.35">
      <c r="A21" s="94">
        <v>65</v>
      </c>
      <c r="B21" s="94" t="s">
        <v>174</v>
      </c>
      <c r="C21" s="94">
        <v>114.75</v>
      </c>
      <c r="D21" s="94">
        <v>115.39999389648401</v>
      </c>
      <c r="E21" s="94">
        <v>0</v>
      </c>
      <c r="F21" s="94">
        <v>122.16351318359401</v>
      </c>
      <c r="G21" s="94">
        <v>0</v>
      </c>
      <c r="H21" s="94" t="s">
        <v>70</v>
      </c>
      <c r="I21" s="94">
        <v>65</v>
      </c>
      <c r="J21" s="94" t="s">
        <v>173</v>
      </c>
      <c r="K21" s="94">
        <v>0</v>
      </c>
      <c r="L21" s="94">
        <v>1.9999999552965199E-2</v>
      </c>
      <c r="M21" s="94">
        <v>0</v>
      </c>
      <c r="N21" s="94">
        <v>108.744987487793</v>
      </c>
      <c r="O21" s="94">
        <v>0</v>
      </c>
      <c r="P21" s="94" t="s">
        <v>70</v>
      </c>
    </row>
    <row r="22" spans="1:16" x14ac:dyDescent="0.35">
      <c r="A22" s="94">
        <v>70</v>
      </c>
      <c r="B22" s="94" t="s">
        <v>172</v>
      </c>
      <c r="C22" s="94">
        <v>109.800003051758</v>
      </c>
      <c r="D22" s="94">
        <v>110.400009155273</v>
      </c>
      <c r="E22" s="94">
        <v>0</v>
      </c>
      <c r="F22" s="94">
        <v>116.24747467041</v>
      </c>
      <c r="G22" s="94">
        <v>0</v>
      </c>
      <c r="H22" s="94" t="s">
        <v>70</v>
      </c>
      <c r="I22" s="94">
        <v>70</v>
      </c>
      <c r="J22" s="94" t="s">
        <v>171</v>
      </c>
      <c r="K22" s="94">
        <v>0</v>
      </c>
      <c r="L22" s="94">
        <v>1.9999999552965199E-2</v>
      </c>
      <c r="M22" s="94">
        <v>0</v>
      </c>
      <c r="N22" s="94">
        <v>101.17913818359401</v>
      </c>
      <c r="O22" s="94">
        <v>0</v>
      </c>
      <c r="P22" s="94" t="s">
        <v>70</v>
      </c>
    </row>
    <row r="23" spans="1:16" x14ac:dyDescent="0.35">
      <c r="A23" s="94">
        <v>75</v>
      </c>
      <c r="B23" s="94" t="s">
        <v>170</v>
      </c>
      <c r="C23" s="94">
        <v>104.800003051758</v>
      </c>
      <c r="D23" s="94">
        <v>105.400009155273</v>
      </c>
      <c r="E23" s="94">
        <v>0</v>
      </c>
      <c r="F23" s="94">
        <v>106.370239257813</v>
      </c>
      <c r="G23" s="94">
        <v>0</v>
      </c>
      <c r="H23" s="94" t="s">
        <v>70</v>
      </c>
      <c r="I23" s="94">
        <v>75</v>
      </c>
      <c r="J23" s="94" t="s">
        <v>169</v>
      </c>
      <c r="K23" s="94">
        <v>0</v>
      </c>
      <c r="L23" s="94">
        <v>1.9999999552965199E-2</v>
      </c>
      <c r="M23" s="94">
        <v>0</v>
      </c>
      <c r="N23" s="94">
        <v>94.140251159667997</v>
      </c>
      <c r="O23" s="94">
        <v>0</v>
      </c>
      <c r="P23" s="94" t="s">
        <v>70</v>
      </c>
    </row>
    <row r="24" spans="1:16" x14ac:dyDescent="0.35">
      <c r="A24" s="94">
        <v>80</v>
      </c>
      <c r="B24" s="94" t="s">
        <v>168</v>
      </c>
      <c r="C24" s="94">
        <v>99.800003051757798</v>
      </c>
      <c r="D24" s="94">
        <v>100.449996948242</v>
      </c>
      <c r="E24" s="94">
        <v>0</v>
      </c>
      <c r="F24" s="94">
        <v>101.15477752685599</v>
      </c>
      <c r="G24" s="94">
        <v>0</v>
      </c>
      <c r="H24" s="94" t="s">
        <v>70</v>
      </c>
      <c r="I24" s="94">
        <v>80</v>
      </c>
      <c r="J24" s="94" t="s">
        <v>167</v>
      </c>
      <c r="K24" s="94">
        <v>0</v>
      </c>
      <c r="L24" s="94">
        <v>1.9999999552965199E-2</v>
      </c>
      <c r="M24" s="94">
        <v>0</v>
      </c>
      <c r="N24" s="94">
        <v>87.555740356445298</v>
      </c>
      <c r="O24" s="94">
        <v>0</v>
      </c>
      <c r="P24" s="94" t="s">
        <v>70</v>
      </c>
    </row>
    <row r="25" spans="1:16" x14ac:dyDescent="0.35">
      <c r="A25" s="94">
        <v>85</v>
      </c>
      <c r="B25" s="94" t="s">
        <v>166</v>
      </c>
      <c r="C25" s="94">
        <v>94.800003051757798</v>
      </c>
      <c r="D25" s="94">
        <v>95.449996948242202</v>
      </c>
      <c r="E25" s="94">
        <v>0</v>
      </c>
      <c r="F25" s="94">
        <v>92.493507385253906</v>
      </c>
      <c r="G25" s="94">
        <v>0</v>
      </c>
      <c r="H25" s="94" t="s">
        <v>70</v>
      </c>
      <c r="I25" s="94">
        <v>85</v>
      </c>
      <c r="J25" s="94" t="s">
        <v>165</v>
      </c>
      <c r="K25" s="94">
        <v>0</v>
      </c>
      <c r="L25" s="94">
        <v>1.00000016391277E-2</v>
      </c>
      <c r="M25" s="94">
        <v>1.00000016391277E-2</v>
      </c>
      <c r="N25" s="94">
        <v>76.492614746093807</v>
      </c>
      <c r="O25" s="94">
        <v>100</v>
      </c>
      <c r="P25" s="94" t="s">
        <v>70</v>
      </c>
    </row>
    <row r="26" spans="1:16" x14ac:dyDescent="0.35">
      <c r="A26" s="94">
        <v>90</v>
      </c>
      <c r="B26" s="94" t="s">
        <v>164</v>
      </c>
      <c r="C26" s="94">
        <v>89.849998474121094</v>
      </c>
      <c r="D26" s="94">
        <v>90.349998474121094</v>
      </c>
      <c r="E26" s="94">
        <v>93.020004272460895</v>
      </c>
      <c r="F26" s="94">
        <v>79.343307495117202</v>
      </c>
      <c r="G26" s="94">
        <v>1</v>
      </c>
      <c r="H26" s="94" t="s">
        <v>70</v>
      </c>
      <c r="I26" s="94">
        <v>90</v>
      </c>
      <c r="J26" s="94" t="s">
        <v>163</v>
      </c>
      <c r="K26" s="94">
        <v>0</v>
      </c>
      <c r="L26" s="94">
        <v>1.9999999552965199E-2</v>
      </c>
      <c r="M26" s="94">
        <v>0</v>
      </c>
      <c r="N26" s="94">
        <v>75.530426025390597</v>
      </c>
      <c r="O26" s="94">
        <v>0</v>
      </c>
      <c r="P26" s="94" t="s">
        <v>70</v>
      </c>
    </row>
    <row r="27" spans="1:16" x14ac:dyDescent="0.35">
      <c r="A27" s="94">
        <v>95</v>
      </c>
      <c r="B27" s="94" t="s">
        <v>162</v>
      </c>
      <c r="C27" s="94">
        <v>84.849998474121094</v>
      </c>
      <c r="D27" s="94">
        <v>85.449996948242202</v>
      </c>
      <c r="E27" s="94">
        <v>0</v>
      </c>
      <c r="F27" s="94">
        <v>80.076431274414105</v>
      </c>
      <c r="G27" s="94">
        <v>0</v>
      </c>
      <c r="H27" s="94" t="s">
        <v>70</v>
      </c>
      <c r="I27" s="94">
        <v>95</v>
      </c>
      <c r="J27" s="94" t="s">
        <v>161</v>
      </c>
      <c r="K27" s="94">
        <v>0</v>
      </c>
      <c r="L27" s="94">
        <v>1.9999999552965199E-2</v>
      </c>
      <c r="M27" s="94">
        <v>0</v>
      </c>
      <c r="N27" s="94">
        <v>70.000297546386705</v>
      </c>
      <c r="O27" s="94">
        <v>0</v>
      </c>
      <c r="P27" s="94" t="s">
        <v>70</v>
      </c>
    </row>
    <row r="28" spans="1:16" x14ac:dyDescent="0.35">
      <c r="A28" s="94">
        <v>100</v>
      </c>
      <c r="B28" s="94" t="s">
        <v>160</v>
      </c>
      <c r="C28" s="94">
        <v>79.900001525878906</v>
      </c>
      <c r="D28" s="94">
        <v>80.349998474121094</v>
      </c>
      <c r="E28" s="94">
        <v>0</v>
      </c>
      <c r="F28" s="94">
        <v>68.610778808593807</v>
      </c>
      <c r="G28" s="94">
        <v>0</v>
      </c>
      <c r="H28" s="94" t="s">
        <v>70</v>
      </c>
      <c r="I28" s="94">
        <v>100</v>
      </c>
      <c r="J28" s="94" t="s">
        <v>159</v>
      </c>
      <c r="K28" s="94">
        <v>0</v>
      </c>
      <c r="L28" s="94">
        <v>1.9999999552965199E-2</v>
      </c>
      <c r="M28" s="94">
        <v>0</v>
      </c>
      <c r="N28" s="94">
        <v>64.745010375976605</v>
      </c>
      <c r="O28" s="94">
        <v>0</v>
      </c>
      <c r="P28" s="94" t="s">
        <v>70</v>
      </c>
    </row>
    <row r="29" spans="1:16" x14ac:dyDescent="0.35">
      <c r="A29" s="94">
        <v>105</v>
      </c>
      <c r="B29" s="94" t="s">
        <v>158</v>
      </c>
      <c r="C29" s="94">
        <v>74.949996948242202</v>
      </c>
      <c r="D29" s="94">
        <v>75.5</v>
      </c>
      <c r="E29" s="94">
        <v>0</v>
      </c>
      <c r="F29" s="94">
        <v>73.362609863281307</v>
      </c>
      <c r="G29" s="94">
        <v>0</v>
      </c>
      <c r="H29" s="94" t="s">
        <v>70</v>
      </c>
      <c r="I29" s="94">
        <v>105</v>
      </c>
      <c r="J29" s="94" t="s">
        <v>157</v>
      </c>
      <c r="K29" s="94">
        <v>0</v>
      </c>
      <c r="L29" s="94">
        <v>3.0000001192092899E-2</v>
      </c>
      <c r="M29" s="94">
        <v>0</v>
      </c>
      <c r="N29" s="94">
        <v>62.194427490234403</v>
      </c>
      <c r="O29" s="94">
        <v>0</v>
      </c>
      <c r="P29" s="94" t="s">
        <v>70</v>
      </c>
    </row>
    <row r="30" spans="1:16" x14ac:dyDescent="0.35">
      <c r="A30" s="94">
        <v>110</v>
      </c>
      <c r="B30" s="94" t="s">
        <v>156</v>
      </c>
      <c r="C30" s="94">
        <v>69.900001525878906</v>
      </c>
      <c r="D30" s="94">
        <v>70.5</v>
      </c>
      <c r="E30" s="94">
        <v>0</v>
      </c>
      <c r="F30" s="94">
        <v>64.710350036621094</v>
      </c>
      <c r="G30" s="94">
        <v>0</v>
      </c>
      <c r="H30" s="94" t="s">
        <v>70</v>
      </c>
      <c r="I30" s="94">
        <v>110</v>
      </c>
      <c r="J30" s="94" t="s">
        <v>155</v>
      </c>
      <c r="K30" s="94">
        <v>0</v>
      </c>
      <c r="L30" s="94">
        <v>3.9999999105930301E-2</v>
      </c>
      <c r="M30" s="94">
        <v>0</v>
      </c>
      <c r="N30" s="94">
        <v>59.008049011230497</v>
      </c>
      <c r="O30" s="94">
        <v>0</v>
      </c>
      <c r="P30" s="94" t="s">
        <v>70</v>
      </c>
    </row>
    <row r="31" spans="1:16" x14ac:dyDescent="0.35">
      <c r="A31" s="94">
        <v>115</v>
      </c>
      <c r="B31" s="94" t="s">
        <v>154</v>
      </c>
      <c r="C31" s="94">
        <v>65</v>
      </c>
      <c r="D31" s="94">
        <v>65.5</v>
      </c>
      <c r="E31" s="94">
        <v>0</v>
      </c>
      <c r="F31" s="94">
        <v>62.307399749755902</v>
      </c>
      <c r="G31" s="94">
        <v>0</v>
      </c>
      <c r="H31" s="94" t="s">
        <v>70</v>
      </c>
      <c r="I31" s="94">
        <v>115</v>
      </c>
      <c r="J31" s="94" t="s">
        <v>153</v>
      </c>
      <c r="K31" s="94">
        <v>1.00000016391277E-2</v>
      </c>
      <c r="L31" s="94">
        <v>3.9999999105930301E-2</v>
      </c>
      <c r="M31" s="94">
        <v>0</v>
      </c>
      <c r="N31" s="94">
        <v>51.489322662353501</v>
      </c>
      <c r="O31" s="94">
        <v>0</v>
      </c>
      <c r="P31" s="94" t="s">
        <v>70</v>
      </c>
    </row>
    <row r="32" spans="1:16" x14ac:dyDescent="0.35">
      <c r="A32" s="94">
        <v>120</v>
      </c>
      <c r="B32" s="94" t="s">
        <v>152</v>
      </c>
      <c r="C32" s="94">
        <v>59.75</v>
      </c>
      <c r="D32" s="94">
        <v>60.449996948242202</v>
      </c>
      <c r="E32" s="94">
        <v>59.779998779296903</v>
      </c>
      <c r="F32" s="94">
        <v>0</v>
      </c>
      <c r="G32" s="94">
        <v>7</v>
      </c>
      <c r="H32" s="94" t="s">
        <v>70</v>
      </c>
      <c r="I32" s="94">
        <v>120</v>
      </c>
      <c r="J32" s="94" t="s">
        <v>151</v>
      </c>
      <c r="K32" s="94">
        <v>1.00000016391277E-2</v>
      </c>
      <c r="L32" s="94">
        <v>3.9999999105930301E-2</v>
      </c>
      <c r="M32" s="94">
        <v>1.9999999552965199E-2</v>
      </c>
      <c r="N32" s="94">
        <v>46.987571716308601</v>
      </c>
      <c r="O32" s="94">
        <v>2</v>
      </c>
      <c r="P32" s="94" t="s">
        <v>70</v>
      </c>
    </row>
    <row r="33" spans="1:16" x14ac:dyDescent="0.35">
      <c r="A33" s="94">
        <v>125</v>
      </c>
      <c r="B33" s="94" t="s">
        <v>150</v>
      </c>
      <c r="C33" s="94">
        <v>55</v>
      </c>
      <c r="D33" s="94">
        <v>55.450000762939503</v>
      </c>
      <c r="E33" s="94">
        <v>0</v>
      </c>
      <c r="F33" s="94">
        <v>48.760955810546903</v>
      </c>
      <c r="G33" s="94">
        <v>0</v>
      </c>
      <c r="H33" s="94" t="s">
        <v>70</v>
      </c>
      <c r="I33" s="94">
        <v>125</v>
      </c>
      <c r="J33" s="94" t="s">
        <v>149</v>
      </c>
      <c r="K33" s="94">
        <v>1.00000016391277E-2</v>
      </c>
      <c r="L33" s="94">
        <v>5.0000000745058101E-2</v>
      </c>
      <c r="M33" s="94">
        <v>3.0000001192092899E-2</v>
      </c>
      <c r="N33" s="94">
        <v>43.481388092041001</v>
      </c>
      <c r="O33" s="94">
        <v>50</v>
      </c>
      <c r="P33" s="94" t="s">
        <v>70</v>
      </c>
    </row>
    <row r="34" spans="1:16" x14ac:dyDescent="0.35">
      <c r="A34" s="94">
        <v>130</v>
      </c>
      <c r="B34" s="94" t="s">
        <v>148</v>
      </c>
      <c r="C34" s="94">
        <v>50.150009155273402</v>
      </c>
      <c r="D34" s="94">
        <v>50.5</v>
      </c>
      <c r="E34" s="94">
        <v>0</v>
      </c>
      <c r="F34" s="94">
        <v>48.913192749023402</v>
      </c>
      <c r="G34" s="94">
        <v>0</v>
      </c>
      <c r="H34" s="94" t="s">
        <v>70</v>
      </c>
      <c r="I34" s="94">
        <v>130</v>
      </c>
      <c r="J34" s="94" t="s">
        <v>147</v>
      </c>
      <c r="K34" s="94">
        <v>1.00000016391277E-2</v>
      </c>
      <c r="L34" s="94">
        <v>5.9999998658895499E-2</v>
      </c>
      <c r="M34" s="94">
        <v>1.9999999552965199E-2</v>
      </c>
      <c r="N34" s="94">
        <v>39.893833160400398</v>
      </c>
      <c r="O34" s="94">
        <v>1</v>
      </c>
      <c r="P34" s="94" t="s">
        <v>70</v>
      </c>
    </row>
    <row r="35" spans="1:16" x14ac:dyDescent="0.35">
      <c r="A35" s="94">
        <v>135</v>
      </c>
      <c r="B35" s="94" t="s">
        <v>146</v>
      </c>
      <c r="C35" s="94">
        <v>45.150009155273402</v>
      </c>
      <c r="D35" s="94">
        <v>45.5</v>
      </c>
      <c r="E35" s="94">
        <v>47.050003051757798</v>
      </c>
      <c r="F35" s="94">
        <v>43.491455078125</v>
      </c>
      <c r="G35" s="94">
        <v>3</v>
      </c>
      <c r="H35" s="94" t="s">
        <v>70</v>
      </c>
      <c r="I35" s="94">
        <v>135</v>
      </c>
      <c r="J35" s="94" t="s">
        <v>145</v>
      </c>
      <c r="K35" s="94">
        <v>5.0000000745058101E-2</v>
      </c>
      <c r="L35" s="94">
        <v>6.9999992847442599E-2</v>
      </c>
      <c r="M35" s="94">
        <v>5.0000000745058101E-2</v>
      </c>
      <c r="N35" s="94">
        <v>38.083484649658203</v>
      </c>
      <c r="O35" s="94">
        <v>43</v>
      </c>
      <c r="P35" s="94" t="s">
        <v>70</v>
      </c>
    </row>
    <row r="36" spans="1:16" x14ac:dyDescent="0.35">
      <c r="A36" s="94">
        <v>140</v>
      </c>
      <c r="B36" s="94" t="s">
        <v>144</v>
      </c>
      <c r="C36" s="94">
        <v>40.25</v>
      </c>
      <c r="D36" s="94">
        <v>40.5</v>
      </c>
      <c r="E36" s="94">
        <v>40.639999389648402</v>
      </c>
      <c r="F36" s="94">
        <v>40.078304290771499</v>
      </c>
      <c r="G36" s="94">
        <v>16</v>
      </c>
      <c r="H36" s="94" t="s">
        <v>70</v>
      </c>
      <c r="I36" s="94">
        <v>140</v>
      </c>
      <c r="J36" s="94" t="s">
        <v>143</v>
      </c>
      <c r="K36" s="94">
        <v>6.9999992847442599E-2</v>
      </c>
      <c r="L36" s="94">
        <v>9.0000033378601102E-2</v>
      </c>
      <c r="M36" s="94">
        <v>0.110000014305115</v>
      </c>
      <c r="N36" s="94">
        <v>35.089832305908203</v>
      </c>
      <c r="O36" s="94">
        <v>266</v>
      </c>
      <c r="P36" s="94" t="s">
        <v>70</v>
      </c>
    </row>
    <row r="37" spans="1:16" x14ac:dyDescent="0.35">
      <c r="A37" s="94">
        <v>145</v>
      </c>
      <c r="B37" s="94" t="s">
        <v>142</v>
      </c>
      <c r="C37" s="94">
        <v>35.25</v>
      </c>
      <c r="D37" s="94">
        <v>35.599990844726598</v>
      </c>
      <c r="E37" s="94">
        <v>34.919998168945298</v>
      </c>
      <c r="F37" s="94">
        <v>36.3735542297363</v>
      </c>
      <c r="G37" s="94">
        <v>7</v>
      </c>
      <c r="H37" s="94" t="s">
        <v>70</v>
      </c>
      <c r="I37" s="94">
        <v>145</v>
      </c>
      <c r="J37" s="94" t="s">
        <v>141</v>
      </c>
      <c r="K37" s="94">
        <v>0.120000004768372</v>
      </c>
      <c r="L37" s="94">
        <v>0.129999995231628</v>
      </c>
      <c r="M37" s="94">
        <v>0.129999995231628</v>
      </c>
      <c r="N37" s="94">
        <v>32.828353881835902</v>
      </c>
      <c r="O37" s="94">
        <v>332</v>
      </c>
      <c r="P37" s="94" t="s">
        <v>70</v>
      </c>
    </row>
    <row r="38" spans="1:16" x14ac:dyDescent="0.35">
      <c r="A38" s="94">
        <v>150</v>
      </c>
      <c r="B38" s="94" t="s">
        <v>140</v>
      </c>
      <c r="C38" s="94">
        <v>30.3999938964844</v>
      </c>
      <c r="D38" s="94">
        <v>30.6499938964844</v>
      </c>
      <c r="E38" s="94">
        <v>30.550003051757798</v>
      </c>
      <c r="F38" s="94">
        <v>33.499214172363303</v>
      </c>
      <c r="G38" s="94">
        <v>148</v>
      </c>
      <c r="H38" s="94" t="s">
        <v>70</v>
      </c>
      <c r="I38" s="94">
        <v>150</v>
      </c>
      <c r="J38" s="94" t="s">
        <v>139</v>
      </c>
      <c r="K38" s="94">
        <v>0.18000000715255701</v>
      </c>
      <c r="L38" s="94">
        <v>0.18999999761581399</v>
      </c>
      <c r="M38" s="94">
        <v>0.17000001668930101</v>
      </c>
      <c r="N38" s="94">
        <v>30.252996444702099</v>
      </c>
      <c r="O38" s="94">
        <v>826</v>
      </c>
      <c r="P38" s="94" t="s">
        <v>70</v>
      </c>
    </row>
    <row r="39" spans="1:16" x14ac:dyDescent="0.35">
      <c r="A39" s="94">
        <v>155</v>
      </c>
      <c r="B39" s="94" t="s">
        <v>138</v>
      </c>
      <c r="C39" s="94">
        <v>25.5</v>
      </c>
      <c r="D39" s="94">
        <v>25.75</v>
      </c>
      <c r="E39" s="94">
        <v>25.75</v>
      </c>
      <c r="F39" s="94">
        <v>30.012378692626999</v>
      </c>
      <c r="G39" s="94">
        <v>156</v>
      </c>
      <c r="H39" s="94" t="s">
        <v>70</v>
      </c>
      <c r="I39" s="94">
        <v>155</v>
      </c>
      <c r="J39" s="94" t="s">
        <v>137</v>
      </c>
      <c r="K39" s="94">
        <v>0.27999997138977101</v>
      </c>
      <c r="L39" s="94">
        <v>0.29000002145767201</v>
      </c>
      <c r="M39" s="94">
        <v>0.28000003099441501</v>
      </c>
      <c r="N39" s="94">
        <v>27.806348800659201</v>
      </c>
      <c r="O39" s="94">
        <v>327</v>
      </c>
      <c r="P39" s="94" t="s">
        <v>70</v>
      </c>
    </row>
    <row r="40" spans="1:16" x14ac:dyDescent="0.35">
      <c r="A40" s="94">
        <v>160</v>
      </c>
      <c r="B40" s="94" t="s">
        <v>136</v>
      </c>
      <c r="C40" s="94">
        <v>20.699996948242202</v>
      </c>
      <c r="D40" s="94">
        <v>20.949996948242202</v>
      </c>
      <c r="E40" s="94">
        <v>21</v>
      </c>
      <c r="F40" s="94">
        <v>27.2592258453369</v>
      </c>
      <c r="G40" s="94">
        <v>6183</v>
      </c>
      <c r="H40" s="94" t="s">
        <v>70</v>
      </c>
      <c r="I40" s="94">
        <v>160</v>
      </c>
      <c r="J40" s="94" t="s">
        <v>135</v>
      </c>
      <c r="K40" s="94">
        <v>0.480000019073486</v>
      </c>
      <c r="L40" s="94">
        <v>0.490000009536743</v>
      </c>
      <c r="M40" s="94">
        <v>0.47000002861022899</v>
      </c>
      <c r="N40" s="94">
        <v>25.851173400878899</v>
      </c>
      <c r="O40" s="94">
        <v>8211</v>
      </c>
      <c r="P40" s="94" t="s">
        <v>70</v>
      </c>
    </row>
    <row r="41" spans="1:16" x14ac:dyDescent="0.35">
      <c r="A41" s="94">
        <v>165</v>
      </c>
      <c r="B41" s="94" t="s">
        <v>134</v>
      </c>
      <c r="C41" s="94">
        <v>16.1000061035156</v>
      </c>
      <c r="D41" s="94">
        <v>16.300003051757798</v>
      </c>
      <c r="E41" s="94">
        <v>16.199996948242202</v>
      </c>
      <c r="F41" s="94">
        <v>25.062925338745099</v>
      </c>
      <c r="G41" s="94">
        <v>460</v>
      </c>
      <c r="H41" s="94" t="s">
        <v>70</v>
      </c>
      <c r="I41" s="94">
        <v>165</v>
      </c>
      <c r="J41" s="94" t="s">
        <v>133</v>
      </c>
      <c r="K41" s="94">
        <v>0.85000002384185802</v>
      </c>
      <c r="L41" s="94">
        <v>0.86000001430511497</v>
      </c>
      <c r="M41" s="94">
        <v>0.82999998331069902</v>
      </c>
      <c r="N41" s="94">
        <v>24.130468368530298</v>
      </c>
      <c r="O41" s="94">
        <v>1491</v>
      </c>
      <c r="P41" s="94" t="s">
        <v>70</v>
      </c>
    </row>
    <row r="42" spans="1:16" x14ac:dyDescent="0.35">
      <c r="A42" s="94">
        <v>170</v>
      </c>
      <c r="B42" s="94" t="s">
        <v>132</v>
      </c>
      <c r="C42" s="94">
        <v>11.8500003814697</v>
      </c>
      <c r="D42" s="94">
        <v>11.949999809265099</v>
      </c>
      <c r="E42" s="94">
        <v>11.8999996185303</v>
      </c>
      <c r="F42" s="94">
        <v>23.4201965332031</v>
      </c>
      <c r="G42" s="94">
        <v>1432</v>
      </c>
      <c r="H42" s="94" t="s">
        <v>70</v>
      </c>
      <c r="I42" s="94">
        <v>170</v>
      </c>
      <c r="J42" s="94" t="s">
        <v>131</v>
      </c>
      <c r="K42" s="94">
        <v>1.5200004577636701</v>
      </c>
      <c r="L42" s="94">
        <v>1.5600004196167001</v>
      </c>
      <c r="M42" s="94">
        <v>1.5</v>
      </c>
      <c r="N42" s="94">
        <v>22.712285995483398</v>
      </c>
      <c r="O42" s="94">
        <v>11402</v>
      </c>
      <c r="P42" s="94" t="s">
        <v>70</v>
      </c>
    </row>
    <row r="43" spans="1:16" x14ac:dyDescent="0.35">
      <c r="A43" s="94">
        <v>175</v>
      </c>
      <c r="B43" s="94" t="s">
        <v>130</v>
      </c>
      <c r="C43" s="94">
        <v>8</v>
      </c>
      <c r="D43" s="94">
        <v>8.1000003814697301</v>
      </c>
      <c r="E43" s="94">
        <v>8</v>
      </c>
      <c r="F43" s="94">
        <v>21.862861633300799</v>
      </c>
      <c r="G43" s="94">
        <v>3813</v>
      </c>
      <c r="H43" s="94" t="s">
        <v>70</v>
      </c>
      <c r="I43" s="94">
        <v>175</v>
      </c>
      <c r="J43" s="94" t="s">
        <v>129</v>
      </c>
      <c r="K43" s="94">
        <v>2.6999998092651398</v>
      </c>
      <c r="L43" s="94">
        <v>2.71999931335449</v>
      </c>
      <c r="M43" s="94">
        <v>2.6400003433227499</v>
      </c>
      <c r="N43" s="94">
        <v>21.426345825195298</v>
      </c>
      <c r="O43" s="94">
        <v>10627</v>
      </c>
      <c r="P43" s="94" t="s">
        <v>70</v>
      </c>
    </row>
    <row r="44" spans="1:16" x14ac:dyDescent="0.35">
      <c r="A44" s="94">
        <v>180</v>
      </c>
      <c r="B44" s="94" t="s">
        <v>128</v>
      </c>
      <c r="C44" s="94">
        <v>4.9499998092651403</v>
      </c>
      <c r="D44" s="94">
        <v>5</v>
      </c>
      <c r="E44" s="94">
        <v>4.9800004959106499</v>
      </c>
      <c r="F44" s="94">
        <v>20.9216632843018</v>
      </c>
      <c r="G44" s="94">
        <v>8563</v>
      </c>
      <c r="H44" s="94" t="s">
        <v>70</v>
      </c>
      <c r="I44" s="94">
        <v>180</v>
      </c>
      <c r="J44" s="94" t="s">
        <v>127</v>
      </c>
      <c r="K44" s="94">
        <v>4.5500001907348597</v>
      </c>
      <c r="L44" s="94">
        <v>4.6499996185302699</v>
      </c>
      <c r="M44" s="94">
        <v>4.6000003814697301</v>
      </c>
      <c r="N44" s="94">
        <v>20.368913650512699</v>
      </c>
      <c r="O44" s="94">
        <v>5254</v>
      </c>
      <c r="P44" s="94" t="s">
        <v>70</v>
      </c>
    </row>
    <row r="45" spans="1:16" x14ac:dyDescent="0.35">
      <c r="A45" s="94">
        <v>185</v>
      </c>
      <c r="B45" s="94" t="s">
        <v>126</v>
      </c>
      <c r="C45" s="94">
        <v>2.6999998092651398</v>
      </c>
      <c r="D45" s="94">
        <v>2.7200002670288099</v>
      </c>
      <c r="E45" s="94">
        <v>2.75</v>
      </c>
      <c r="F45" s="94">
        <v>20.0312004089356</v>
      </c>
      <c r="G45" s="94">
        <v>10576</v>
      </c>
      <c r="H45" s="94" t="s">
        <v>70</v>
      </c>
      <c r="I45" s="94">
        <v>185</v>
      </c>
      <c r="J45" s="94" t="s">
        <v>125</v>
      </c>
      <c r="K45" s="94">
        <v>7.3499994277954102</v>
      </c>
      <c r="L45" s="94">
        <v>7.4499998092651403</v>
      </c>
      <c r="M45" s="94">
        <v>7.3000001907348597</v>
      </c>
      <c r="N45" s="94">
        <v>19.667181015014599</v>
      </c>
      <c r="O45" s="94">
        <v>2742</v>
      </c>
      <c r="P45" s="94" t="s">
        <v>70</v>
      </c>
    </row>
    <row r="46" spans="1:16" x14ac:dyDescent="0.35">
      <c r="A46" s="94">
        <v>190</v>
      </c>
      <c r="B46" s="94" t="s">
        <v>124</v>
      </c>
      <c r="C46" s="94">
        <v>1.3100004196167001</v>
      </c>
      <c r="D46" s="94">
        <v>1.32999992370605</v>
      </c>
      <c r="E46" s="94">
        <v>1.34000015258789</v>
      </c>
      <c r="F46" s="94">
        <v>19.5545539855957</v>
      </c>
      <c r="G46" s="94">
        <v>11219</v>
      </c>
      <c r="H46" s="94" t="s">
        <v>70</v>
      </c>
      <c r="I46" s="94">
        <v>190</v>
      </c>
      <c r="J46" s="94" t="s">
        <v>123</v>
      </c>
      <c r="K46" s="94">
        <v>10.949999809265099</v>
      </c>
      <c r="L46" s="94">
        <v>11.1000003814697</v>
      </c>
      <c r="M46" s="94">
        <v>11.1000003814697</v>
      </c>
      <c r="N46" s="94">
        <v>18.951847076416001</v>
      </c>
      <c r="O46" s="94">
        <v>267</v>
      </c>
      <c r="P46" s="94" t="s">
        <v>70</v>
      </c>
    </row>
    <row r="47" spans="1:16" x14ac:dyDescent="0.35">
      <c r="A47" s="94">
        <v>195</v>
      </c>
      <c r="B47" s="94" t="s">
        <v>122</v>
      </c>
      <c r="C47" s="94">
        <v>0.60000002384185802</v>
      </c>
      <c r="D47" s="94">
        <v>0.61000001430511497</v>
      </c>
      <c r="E47" s="94">
        <v>0.64999997615814198</v>
      </c>
      <c r="F47" s="94">
        <v>19.5700798034668</v>
      </c>
      <c r="G47" s="94">
        <v>1655</v>
      </c>
      <c r="H47" s="94" t="s">
        <v>70</v>
      </c>
      <c r="I47" s="94">
        <v>195</v>
      </c>
      <c r="J47" s="94" t="s">
        <v>121</v>
      </c>
      <c r="K47" s="94">
        <v>15.300000190734901</v>
      </c>
      <c r="L47" s="94">
        <v>15.5</v>
      </c>
      <c r="M47" s="94">
        <v>14.800000190734901</v>
      </c>
      <c r="N47" s="94">
        <v>18.932817459106399</v>
      </c>
      <c r="O47" s="94">
        <v>31</v>
      </c>
      <c r="P47" s="94" t="s">
        <v>70</v>
      </c>
    </row>
    <row r="48" spans="1:16" x14ac:dyDescent="0.35">
      <c r="A48" s="94">
        <v>200</v>
      </c>
      <c r="B48" s="94" t="s">
        <v>120</v>
      </c>
      <c r="C48" s="94">
        <v>0.28000003099441501</v>
      </c>
      <c r="D48" s="94">
        <v>0.29000002145767201</v>
      </c>
      <c r="E48" s="94">
        <v>0.28000003099441501</v>
      </c>
      <c r="F48" s="94">
        <v>20.107887268066399</v>
      </c>
      <c r="G48" s="94">
        <v>2252</v>
      </c>
      <c r="H48" s="94" t="s">
        <v>70</v>
      </c>
      <c r="I48" s="94">
        <v>200</v>
      </c>
      <c r="J48" s="94" t="s">
        <v>119</v>
      </c>
      <c r="K48" s="94">
        <v>20.0499877929688</v>
      </c>
      <c r="L48" s="94">
        <v>20.25</v>
      </c>
      <c r="M48" s="94">
        <v>20.009994506835898</v>
      </c>
      <c r="N48" s="94">
        <v>18.481178283691399</v>
      </c>
      <c r="O48" s="94">
        <v>3</v>
      </c>
      <c r="P48" s="94" t="s">
        <v>70</v>
      </c>
    </row>
    <row r="49" spans="1:16" x14ac:dyDescent="0.35">
      <c r="A49" s="94">
        <v>205</v>
      </c>
      <c r="B49" s="94" t="s">
        <v>118</v>
      </c>
      <c r="C49" s="94">
        <v>0.139999985694885</v>
      </c>
      <c r="D49" s="94">
        <v>0.150000035762787</v>
      </c>
      <c r="E49" s="94">
        <v>0.150000035762787</v>
      </c>
      <c r="F49" s="94">
        <v>21.009059906005898</v>
      </c>
      <c r="G49" s="94">
        <v>135</v>
      </c>
      <c r="H49" s="94" t="s">
        <v>70</v>
      </c>
      <c r="I49" s="94">
        <v>205</v>
      </c>
      <c r="J49" s="94" t="s">
        <v>117</v>
      </c>
      <c r="K49" s="94">
        <v>24.950000762939499</v>
      </c>
      <c r="L49" s="94">
        <v>25.199996948242202</v>
      </c>
      <c r="M49" s="94">
        <v>25.1000061035156</v>
      </c>
      <c r="N49" s="94">
        <v>0</v>
      </c>
      <c r="O49" s="94">
        <v>25</v>
      </c>
      <c r="P49" s="94" t="s">
        <v>70</v>
      </c>
    </row>
    <row r="50" spans="1:16" x14ac:dyDescent="0.35">
      <c r="A50" s="94">
        <v>210</v>
      </c>
      <c r="B50" s="94" t="s">
        <v>116</v>
      </c>
      <c r="C50" s="94">
        <v>7.9999983310699505E-2</v>
      </c>
      <c r="D50" s="94">
        <v>9.0000033378601102E-2</v>
      </c>
      <c r="E50" s="94">
        <v>0.10000002384185799</v>
      </c>
      <c r="F50" s="94">
        <v>22.29736328125</v>
      </c>
      <c r="G50" s="94">
        <v>78</v>
      </c>
      <c r="H50" s="94" t="s">
        <v>70</v>
      </c>
      <c r="I50" s="94">
        <v>210</v>
      </c>
      <c r="J50" s="94" t="s">
        <v>115</v>
      </c>
      <c r="K50" s="94">
        <v>29.850000381469702</v>
      </c>
      <c r="L50" s="94">
        <v>30.3999938964844</v>
      </c>
      <c r="M50" s="94">
        <v>0</v>
      </c>
      <c r="N50" s="94">
        <v>0</v>
      </c>
      <c r="O50" s="94">
        <v>0</v>
      </c>
      <c r="P50" s="94" t="s">
        <v>70</v>
      </c>
    </row>
    <row r="51" spans="1:16" x14ac:dyDescent="0.35">
      <c r="A51" s="94">
        <v>215</v>
      </c>
      <c r="B51" s="94" t="s">
        <v>114</v>
      </c>
      <c r="C51" s="94">
        <v>5.0000000745058101E-2</v>
      </c>
      <c r="D51" s="94">
        <v>6.9999992847442599E-2</v>
      </c>
      <c r="E51" s="94">
        <v>0.110000014305115</v>
      </c>
      <c r="F51" s="94">
        <v>24.007764816284201</v>
      </c>
      <c r="G51" s="94">
        <v>6</v>
      </c>
      <c r="H51" s="94" t="s">
        <v>70</v>
      </c>
      <c r="I51" s="94">
        <v>215</v>
      </c>
      <c r="J51" s="94" t="s">
        <v>113</v>
      </c>
      <c r="K51" s="94">
        <v>34.849998474121101</v>
      </c>
      <c r="L51" s="94">
        <v>35.350006103515597</v>
      </c>
      <c r="M51" s="94">
        <v>0</v>
      </c>
      <c r="N51" s="94">
        <v>0</v>
      </c>
      <c r="O51" s="94">
        <v>0</v>
      </c>
      <c r="P51" s="94" t="s">
        <v>70</v>
      </c>
    </row>
    <row r="52" spans="1:16" x14ac:dyDescent="0.35">
      <c r="A52" s="94">
        <v>220</v>
      </c>
      <c r="B52" s="94" t="s">
        <v>112</v>
      </c>
      <c r="C52" s="94">
        <v>1.9999999552965199E-2</v>
      </c>
      <c r="D52" s="94">
        <v>9.9999964237213093E-2</v>
      </c>
      <c r="E52" s="94">
        <v>5.0000000745058101E-2</v>
      </c>
      <c r="F52" s="94">
        <v>26.672702789306602</v>
      </c>
      <c r="G52" s="94">
        <v>5</v>
      </c>
      <c r="H52" s="94" t="s">
        <v>70</v>
      </c>
      <c r="I52" s="94">
        <v>220</v>
      </c>
      <c r="J52" s="94" t="s">
        <v>111</v>
      </c>
      <c r="K52" s="94">
        <v>39.849998474121101</v>
      </c>
      <c r="L52" s="94">
        <v>40.300003051757798</v>
      </c>
      <c r="M52" s="94">
        <v>0</v>
      </c>
      <c r="N52" s="94">
        <v>0</v>
      </c>
      <c r="O52" s="94">
        <v>0</v>
      </c>
      <c r="P52" s="94" t="s">
        <v>70</v>
      </c>
    </row>
    <row r="53" spans="1:16" x14ac:dyDescent="0.35">
      <c r="A53" s="94">
        <v>225</v>
      </c>
      <c r="B53" s="94" t="s">
        <v>110</v>
      </c>
      <c r="C53" s="94">
        <v>1.00000016391277E-2</v>
      </c>
      <c r="D53" s="94">
        <v>9.0000033378601102E-2</v>
      </c>
      <c r="E53" s="94">
        <v>5.0000000745058101E-2</v>
      </c>
      <c r="F53" s="94">
        <v>28.591524124145501</v>
      </c>
      <c r="G53" s="94">
        <v>10</v>
      </c>
      <c r="H53" s="94" t="s">
        <v>70</v>
      </c>
      <c r="I53" s="94">
        <v>225</v>
      </c>
      <c r="J53" s="94" t="s">
        <v>109</v>
      </c>
      <c r="K53" s="94">
        <v>44.849998474121101</v>
      </c>
      <c r="L53" s="94">
        <v>45.300003051757798</v>
      </c>
      <c r="M53" s="94">
        <v>0</v>
      </c>
      <c r="N53" s="94">
        <v>0</v>
      </c>
      <c r="O53" s="94">
        <v>0</v>
      </c>
      <c r="P53" s="94" t="s">
        <v>70</v>
      </c>
    </row>
    <row r="54" spans="1:16" x14ac:dyDescent="0.35">
      <c r="A54" s="94">
        <v>230</v>
      </c>
      <c r="B54" s="94" t="s">
        <v>108</v>
      </c>
      <c r="C54" s="94">
        <v>1.00000016391277E-2</v>
      </c>
      <c r="D54" s="94">
        <v>6.9999992847442599E-2</v>
      </c>
      <c r="E54" s="94">
        <v>3.0000001192092899E-2</v>
      </c>
      <c r="F54" s="94">
        <v>30.2331027984619</v>
      </c>
      <c r="G54" s="94">
        <v>280</v>
      </c>
      <c r="H54" s="94" t="s">
        <v>70</v>
      </c>
      <c r="I54" s="94">
        <v>230</v>
      </c>
      <c r="J54" s="94" t="s">
        <v>107</v>
      </c>
      <c r="K54" s="94">
        <v>49.849998474121101</v>
      </c>
      <c r="L54" s="94">
        <v>50.2999877929688</v>
      </c>
      <c r="M54" s="94">
        <v>0</v>
      </c>
      <c r="N54" s="94">
        <v>0</v>
      </c>
      <c r="O54" s="94">
        <v>0</v>
      </c>
      <c r="P54" s="94" t="s">
        <v>70</v>
      </c>
    </row>
    <row r="55" spans="1:16" x14ac:dyDescent="0.35">
      <c r="A55" s="94">
        <v>235</v>
      </c>
      <c r="B55" s="94" t="s">
        <v>106</v>
      </c>
      <c r="C55" s="94">
        <v>0</v>
      </c>
      <c r="D55" s="94">
        <v>6.9999992847442599E-2</v>
      </c>
      <c r="E55" s="94">
        <v>1.00000016391277E-2</v>
      </c>
      <c r="F55" s="94">
        <v>34.776771545410199</v>
      </c>
      <c r="G55" s="94">
        <v>1</v>
      </c>
      <c r="H55" s="94" t="s">
        <v>70</v>
      </c>
      <c r="I55" s="94">
        <v>235</v>
      </c>
      <c r="J55" s="94" t="s">
        <v>105</v>
      </c>
      <c r="K55" s="94">
        <v>54.849998474121101</v>
      </c>
      <c r="L55" s="94">
        <v>55.350006103515597</v>
      </c>
      <c r="M55" s="94">
        <v>0</v>
      </c>
      <c r="N55" s="94">
        <v>0</v>
      </c>
      <c r="O55" s="94">
        <v>0</v>
      </c>
      <c r="P55" s="94" t="s">
        <v>70</v>
      </c>
    </row>
    <row r="56" spans="1:16" x14ac:dyDescent="0.35">
      <c r="A56" s="94">
        <v>240</v>
      </c>
      <c r="B56" s="94" t="s">
        <v>104</v>
      </c>
      <c r="C56" s="94">
        <v>0</v>
      </c>
      <c r="D56" s="94">
        <v>6.9999992847442599E-2</v>
      </c>
      <c r="E56" s="94">
        <v>3.0000001192092899E-2</v>
      </c>
      <c r="F56" s="94">
        <v>37.138805389404297</v>
      </c>
      <c r="G56" s="94">
        <v>1</v>
      </c>
      <c r="H56" s="94" t="s">
        <v>70</v>
      </c>
      <c r="I56" s="94">
        <v>240</v>
      </c>
      <c r="J56" s="94" t="s">
        <v>103</v>
      </c>
      <c r="K56" s="94">
        <v>59.849998474121101</v>
      </c>
      <c r="L56" s="94">
        <v>60.349990844726598</v>
      </c>
      <c r="M56" s="94">
        <v>0</v>
      </c>
      <c r="N56" s="94">
        <v>0</v>
      </c>
      <c r="O56" s="94">
        <v>0</v>
      </c>
      <c r="P56" s="94" t="s">
        <v>70</v>
      </c>
    </row>
    <row r="57" spans="1:16" x14ac:dyDescent="0.35">
      <c r="A57" s="94">
        <v>245</v>
      </c>
      <c r="B57" s="94" t="s">
        <v>102</v>
      </c>
      <c r="C57" s="94">
        <v>0</v>
      </c>
      <c r="D57" s="94">
        <v>5.0000000745058101E-2</v>
      </c>
      <c r="E57" s="94">
        <v>0</v>
      </c>
      <c r="F57" s="94">
        <v>37.906570434570298</v>
      </c>
      <c r="G57" s="94">
        <v>0</v>
      </c>
      <c r="H57" s="94" t="s">
        <v>70</v>
      </c>
      <c r="I57" s="94">
        <v>245</v>
      </c>
      <c r="J57" s="94" t="s">
        <v>101</v>
      </c>
      <c r="K57" s="94">
        <v>64.849998474121094</v>
      </c>
      <c r="L57" s="94">
        <v>65.350006103515597</v>
      </c>
      <c r="M57" s="94">
        <v>0</v>
      </c>
      <c r="N57" s="94">
        <v>0</v>
      </c>
      <c r="O57" s="94">
        <v>0</v>
      </c>
      <c r="P57" s="94" t="s">
        <v>70</v>
      </c>
    </row>
    <row r="58" spans="1:16" x14ac:dyDescent="0.35">
      <c r="A58" s="94">
        <v>250</v>
      </c>
      <c r="B58" s="94" t="s">
        <v>100</v>
      </c>
      <c r="C58" s="94">
        <v>0</v>
      </c>
      <c r="D58" s="94">
        <v>5.0000000745058101E-2</v>
      </c>
      <c r="E58" s="94">
        <v>0</v>
      </c>
      <c r="F58" s="94">
        <v>40.067474365234403</v>
      </c>
      <c r="G58" s="94">
        <v>0</v>
      </c>
      <c r="H58" s="94" t="s">
        <v>70</v>
      </c>
      <c r="I58" s="94">
        <v>250</v>
      </c>
      <c r="J58" s="94" t="s">
        <v>99</v>
      </c>
      <c r="K58" s="94">
        <v>69.849998474121094</v>
      </c>
      <c r="L58" s="94">
        <v>70.350006103515597</v>
      </c>
      <c r="M58" s="94">
        <v>0</v>
      </c>
      <c r="N58" s="94">
        <v>0</v>
      </c>
      <c r="O58" s="94">
        <v>0</v>
      </c>
      <c r="P58" s="94" t="s">
        <v>70</v>
      </c>
    </row>
    <row r="59" spans="1:16" x14ac:dyDescent="0.35">
      <c r="A59" s="94">
        <v>255</v>
      </c>
      <c r="B59" s="94" t="s">
        <v>98</v>
      </c>
      <c r="C59" s="94">
        <v>0</v>
      </c>
      <c r="D59" s="94">
        <v>3.9999999105930301E-2</v>
      </c>
      <c r="E59" s="94">
        <v>0</v>
      </c>
      <c r="F59" s="94">
        <v>41.155906677246101</v>
      </c>
      <c r="G59" s="94">
        <v>0</v>
      </c>
      <c r="H59" s="94" t="s">
        <v>70</v>
      </c>
      <c r="I59" s="94">
        <v>255</v>
      </c>
      <c r="J59" s="94" t="s">
        <v>97</v>
      </c>
      <c r="K59" s="94">
        <v>74.849998474121094</v>
      </c>
      <c r="L59" s="94">
        <v>75.300003051757798</v>
      </c>
      <c r="M59" s="94">
        <v>0</v>
      </c>
      <c r="N59" s="94">
        <v>0</v>
      </c>
      <c r="O59" s="94">
        <v>0</v>
      </c>
      <c r="P59" s="94" t="s">
        <v>70</v>
      </c>
    </row>
    <row r="60" spans="1:16" x14ac:dyDescent="0.35">
      <c r="A60" s="94">
        <v>260</v>
      </c>
      <c r="B60" s="94" t="s">
        <v>96</v>
      </c>
      <c r="C60" s="94">
        <v>0</v>
      </c>
      <c r="D60" s="94">
        <v>3.0000001192092899E-2</v>
      </c>
      <c r="E60" s="94">
        <v>0</v>
      </c>
      <c r="F60" s="94">
        <v>41.897781372070298</v>
      </c>
      <c r="G60" s="94">
        <v>0</v>
      </c>
      <c r="H60" s="94" t="s">
        <v>70</v>
      </c>
      <c r="I60" s="94">
        <v>260</v>
      </c>
      <c r="J60" s="94" t="s">
        <v>95</v>
      </c>
      <c r="K60" s="94">
        <v>79.849998474121094</v>
      </c>
      <c r="L60" s="94">
        <v>80.349990844726605</v>
      </c>
      <c r="M60" s="94">
        <v>0</v>
      </c>
      <c r="N60" s="94">
        <v>0</v>
      </c>
      <c r="O60" s="94">
        <v>0</v>
      </c>
      <c r="P60" s="94" t="s">
        <v>70</v>
      </c>
    </row>
    <row r="61" spans="1:16" x14ac:dyDescent="0.35">
      <c r="A61" s="94">
        <v>265</v>
      </c>
      <c r="B61" s="94" t="s">
        <v>94</v>
      </c>
      <c r="C61" s="94">
        <v>0</v>
      </c>
      <c r="D61" s="94">
        <v>3.0000001192092899E-2</v>
      </c>
      <c r="E61" s="94">
        <v>0</v>
      </c>
      <c r="F61" s="94">
        <v>43.811149597167997</v>
      </c>
      <c r="G61" s="94">
        <v>0</v>
      </c>
      <c r="H61" s="94" t="s">
        <v>70</v>
      </c>
      <c r="I61" s="94">
        <v>265</v>
      </c>
      <c r="J61" s="94" t="s">
        <v>93</v>
      </c>
      <c r="K61" s="94">
        <v>84.849998474121094</v>
      </c>
      <c r="L61" s="94">
        <v>85.400009155273395</v>
      </c>
      <c r="M61" s="94">
        <v>0</v>
      </c>
      <c r="N61" s="94">
        <v>0</v>
      </c>
      <c r="O61" s="94">
        <v>0</v>
      </c>
      <c r="P61" s="94" t="s">
        <v>70</v>
      </c>
    </row>
    <row r="62" spans="1:16" x14ac:dyDescent="0.35">
      <c r="A62" s="94">
        <v>270</v>
      </c>
      <c r="B62" s="94" t="s">
        <v>92</v>
      </c>
      <c r="C62" s="94">
        <v>0</v>
      </c>
      <c r="D62" s="94">
        <v>1.9999999552965199E-2</v>
      </c>
      <c r="E62" s="94">
        <v>0</v>
      </c>
      <c r="F62" s="94">
        <v>43.926467895507798</v>
      </c>
      <c r="G62" s="94">
        <v>0</v>
      </c>
      <c r="H62" s="94" t="s">
        <v>70</v>
      </c>
      <c r="I62" s="94">
        <v>270</v>
      </c>
      <c r="J62" s="94" t="s">
        <v>91</v>
      </c>
      <c r="K62" s="94">
        <v>89.849998474121094</v>
      </c>
      <c r="L62" s="94">
        <v>90.399993896484403</v>
      </c>
      <c r="M62" s="94">
        <v>0</v>
      </c>
      <c r="N62" s="94">
        <v>0</v>
      </c>
      <c r="O62" s="94">
        <v>0</v>
      </c>
      <c r="P62" s="94" t="s">
        <v>70</v>
      </c>
    </row>
    <row r="63" spans="1:16" x14ac:dyDescent="0.35">
      <c r="A63" s="94">
        <v>275</v>
      </c>
      <c r="B63" s="94" t="s">
        <v>90</v>
      </c>
      <c r="C63" s="94">
        <v>0</v>
      </c>
      <c r="D63" s="94">
        <v>1.9999999552965199E-2</v>
      </c>
      <c r="E63" s="94">
        <v>0</v>
      </c>
      <c r="F63" s="94">
        <v>45.693767547607401</v>
      </c>
      <c r="G63" s="94">
        <v>0</v>
      </c>
      <c r="H63" s="94" t="s">
        <v>70</v>
      </c>
      <c r="I63" s="94">
        <v>275</v>
      </c>
      <c r="J63" s="94" t="s">
        <v>89</v>
      </c>
      <c r="K63" s="94">
        <v>94.849998474121094</v>
      </c>
      <c r="L63" s="94">
        <v>95.400009155273395</v>
      </c>
      <c r="M63" s="94">
        <v>0</v>
      </c>
      <c r="N63" s="94">
        <v>0</v>
      </c>
      <c r="O63" s="94">
        <v>0</v>
      </c>
      <c r="P63" s="94" t="s">
        <v>70</v>
      </c>
    </row>
    <row r="64" spans="1:16" x14ac:dyDescent="0.35">
      <c r="A64" s="94">
        <v>280</v>
      </c>
      <c r="B64" s="94" t="s">
        <v>88</v>
      </c>
      <c r="C64" s="94">
        <v>0</v>
      </c>
      <c r="D64" s="94">
        <v>1.9999999552965199E-2</v>
      </c>
      <c r="E64" s="94">
        <v>0</v>
      </c>
      <c r="F64" s="94">
        <v>47.420936584472699</v>
      </c>
      <c r="G64" s="94">
        <v>0</v>
      </c>
      <c r="H64" s="94" t="s">
        <v>70</v>
      </c>
      <c r="I64" s="94">
        <v>280</v>
      </c>
      <c r="J64" s="94" t="s">
        <v>87</v>
      </c>
      <c r="K64" s="94">
        <v>99.849998474121094</v>
      </c>
      <c r="L64" s="94">
        <v>100.400009155273</v>
      </c>
      <c r="M64" s="94">
        <v>0</v>
      </c>
      <c r="N64" s="94">
        <v>0</v>
      </c>
      <c r="O64" s="94">
        <v>0</v>
      </c>
      <c r="P64" s="94" t="s">
        <v>70</v>
      </c>
    </row>
    <row r="65" spans="1:16" x14ac:dyDescent="0.35">
      <c r="A65" s="94">
        <v>285</v>
      </c>
      <c r="B65" s="94" t="s">
        <v>86</v>
      </c>
      <c r="C65" s="94">
        <v>0</v>
      </c>
      <c r="D65" s="94">
        <v>1.9999999552965199E-2</v>
      </c>
      <c r="E65" s="94">
        <v>0</v>
      </c>
      <c r="F65" s="94">
        <v>49.109859466552699</v>
      </c>
      <c r="G65" s="94">
        <v>0</v>
      </c>
      <c r="H65" s="94" t="s">
        <v>70</v>
      </c>
      <c r="I65" s="94">
        <v>285</v>
      </c>
      <c r="J65" s="94" t="s">
        <v>85</v>
      </c>
      <c r="K65" s="94">
        <v>104.84999847412099</v>
      </c>
      <c r="L65" s="94">
        <v>105.400009155273</v>
      </c>
      <c r="M65" s="94">
        <v>0</v>
      </c>
      <c r="N65" s="94">
        <v>0</v>
      </c>
      <c r="O65" s="94">
        <v>0</v>
      </c>
      <c r="P65" s="94" t="s">
        <v>70</v>
      </c>
    </row>
    <row r="66" spans="1:16" x14ac:dyDescent="0.35">
      <c r="A66" s="94">
        <v>290</v>
      </c>
      <c r="B66" s="94" t="s">
        <v>84</v>
      </c>
      <c r="C66" s="94">
        <v>0</v>
      </c>
      <c r="D66" s="94">
        <v>1.9999999552965199E-2</v>
      </c>
      <c r="E66" s="94">
        <v>0</v>
      </c>
      <c r="F66" s="94">
        <v>50.762275695800803</v>
      </c>
      <c r="G66" s="94">
        <v>0</v>
      </c>
      <c r="H66" s="94" t="s">
        <v>70</v>
      </c>
      <c r="I66" s="94">
        <v>290</v>
      </c>
      <c r="J66" s="94" t="s">
        <v>83</v>
      </c>
      <c r="K66" s="94">
        <v>109.84999847412099</v>
      </c>
      <c r="L66" s="94">
        <v>110.400009155273</v>
      </c>
      <c r="M66" s="94">
        <v>0</v>
      </c>
      <c r="N66" s="94">
        <v>0</v>
      </c>
      <c r="O66" s="94">
        <v>0</v>
      </c>
      <c r="P66" s="94" t="s">
        <v>70</v>
      </c>
    </row>
    <row r="67" spans="1:16" x14ac:dyDescent="0.35">
      <c r="A67" s="94">
        <v>295</v>
      </c>
      <c r="B67" s="94" t="s">
        <v>82</v>
      </c>
      <c r="C67" s="94">
        <v>0</v>
      </c>
      <c r="D67" s="94">
        <v>1.9999999552965199E-2</v>
      </c>
      <c r="E67" s="94">
        <v>0</v>
      </c>
      <c r="F67" s="94">
        <v>52.379795074462898</v>
      </c>
      <c r="G67" s="94">
        <v>0</v>
      </c>
      <c r="H67" s="94" t="s">
        <v>70</v>
      </c>
      <c r="I67" s="94">
        <v>295</v>
      </c>
      <c r="J67" s="94" t="s">
        <v>81</v>
      </c>
      <c r="K67" s="94">
        <v>114.84999847412099</v>
      </c>
      <c r="L67" s="94">
        <v>115.400009155273</v>
      </c>
      <c r="M67" s="94">
        <v>0</v>
      </c>
      <c r="N67" s="94">
        <v>0</v>
      </c>
      <c r="O67" s="94">
        <v>0</v>
      </c>
      <c r="P67" s="94" t="s">
        <v>70</v>
      </c>
    </row>
    <row r="68" spans="1:16" x14ac:dyDescent="0.35">
      <c r="A68" s="94">
        <v>300</v>
      </c>
      <c r="B68" s="94" t="s">
        <v>80</v>
      </c>
      <c r="C68" s="94">
        <v>0</v>
      </c>
      <c r="D68" s="94">
        <v>1.9999999552965199E-2</v>
      </c>
      <c r="E68" s="94">
        <v>0</v>
      </c>
      <c r="F68" s="94">
        <v>53.963916778564503</v>
      </c>
      <c r="G68" s="94">
        <v>0</v>
      </c>
      <c r="H68" s="94" t="s">
        <v>70</v>
      </c>
      <c r="I68" s="94">
        <v>300</v>
      </c>
      <c r="J68" s="94" t="s">
        <v>79</v>
      </c>
      <c r="K68" s="94">
        <v>119.84999847412099</v>
      </c>
      <c r="L68" s="94">
        <v>120.400009155273</v>
      </c>
      <c r="M68" s="94">
        <v>0</v>
      </c>
      <c r="N68" s="94">
        <v>0</v>
      </c>
      <c r="O68" s="94">
        <v>0</v>
      </c>
      <c r="P68" s="94" t="s">
        <v>70</v>
      </c>
    </row>
    <row r="69" spans="1:16" x14ac:dyDescent="0.35">
      <c r="A69" s="94">
        <v>305</v>
      </c>
      <c r="B69" s="94" t="s">
        <v>78</v>
      </c>
      <c r="C69" s="94">
        <v>0</v>
      </c>
      <c r="D69" s="94">
        <v>1.9999999552965199E-2</v>
      </c>
      <c r="E69" s="94">
        <v>0</v>
      </c>
      <c r="F69" s="94">
        <v>55.516029357910199</v>
      </c>
      <c r="G69" s="94">
        <v>0</v>
      </c>
      <c r="H69" s="94" t="s">
        <v>70</v>
      </c>
      <c r="I69" s="94">
        <v>305</v>
      </c>
      <c r="J69" s="94" t="s">
        <v>77</v>
      </c>
      <c r="K69" s="94">
        <v>124.84999847412099</v>
      </c>
      <c r="L69" s="94">
        <v>125.400009155273</v>
      </c>
      <c r="M69" s="94">
        <v>0</v>
      </c>
      <c r="N69" s="94">
        <v>0</v>
      </c>
      <c r="O69" s="94">
        <v>0</v>
      </c>
      <c r="P69" s="94" t="s">
        <v>70</v>
      </c>
    </row>
    <row r="70" spans="1:16" x14ac:dyDescent="0.35">
      <c r="A70" s="94">
        <v>310</v>
      </c>
      <c r="B70" s="94" t="s">
        <v>76</v>
      </c>
      <c r="C70" s="94">
        <v>0</v>
      </c>
      <c r="D70" s="94">
        <v>1.9999999552965199E-2</v>
      </c>
      <c r="E70" s="94">
        <v>0</v>
      </c>
      <c r="F70" s="94">
        <v>57.037437438964801</v>
      </c>
      <c r="G70" s="94">
        <v>0</v>
      </c>
      <c r="H70" s="94" t="s">
        <v>70</v>
      </c>
      <c r="I70" s="94">
        <v>310</v>
      </c>
      <c r="J70" s="94" t="s">
        <v>75</v>
      </c>
      <c r="K70" s="94">
        <v>129.85000610351599</v>
      </c>
      <c r="L70" s="94">
        <v>130.39999389648401</v>
      </c>
      <c r="M70" s="94">
        <v>0</v>
      </c>
      <c r="N70" s="94">
        <v>0</v>
      </c>
      <c r="O70" s="94">
        <v>0</v>
      </c>
      <c r="P70" s="94" t="s">
        <v>70</v>
      </c>
    </row>
    <row r="71" spans="1:16" x14ac:dyDescent="0.35">
      <c r="A71" s="94">
        <v>315</v>
      </c>
      <c r="B71" s="94" t="s">
        <v>74</v>
      </c>
      <c r="C71" s="94">
        <v>0</v>
      </c>
      <c r="D71" s="94">
        <v>1.9999999552965199E-2</v>
      </c>
      <c r="E71" s="94">
        <v>0</v>
      </c>
      <c r="F71" s="94">
        <v>58.5293579101563</v>
      </c>
      <c r="G71" s="94">
        <v>0</v>
      </c>
      <c r="H71" s="94" t="s">
        <v>70</v>
      </c>
      <c r="I71" s="94">
        <v>315</v>
      </c>
      <c r="J71" s="94" t="s">
        <v>73</v>
      </c>
      <c r="K71" s="94">
        <v>134.85000610351599</v>
      </c>
      <c r="L71" s="94">
        <v>135.39999389648401</v>
      </c>
      <c r="M71" s="94">
        <v>0</v>
      </c>
      <c r="N71" s="94">
        <v>0</v>
      </c>
      <c r="O71" s="94">
        <v>0</v>
      </c>
      <c r="P71" s="94" t="s">
        <v>70</v>
      </c>
    </row>
    <row r="72" spans="1:16" x14ac:dyDescent="0.35">
      <c r="A72" s="94">
        <v>320</v>
      </c>
      <c r="B72" s="94" t="s">
        <v>72</v>
      </c>
      <c r="C72" s="94">
        <v>0</v>
      </c>
      <c r="D72" s="94">
        <v>1.9999999552965199E-2</v>
      </c>
      <c r="E72" s="94">
        <v>0</v>
      </c>
      <c r="F72" s="94">
        <v>59.992931365966797</v>
      </c>
      <c r="G72" s="94">
        <v>0</v>
      </c>
      <c r="H72" s="94" t="s">
        <v>70</v>
      </c>
      <c r="I72" s="94">
        <v>320</v>
      </c>
      <c r="J72" s="94" t="s">
        <v>71</v>
      </c>
      <c r="K72" s="94">
        <v>138</v>
      </c>
      <c r="L72" s="94">
        <v>142.19999694824199</v>
      </c>
      <c r="M72" s="94">
        <v>0</v>
      </c>
      <c r="N72" s="94">
        <v>0</v>
      </c>
      <c r="O72" s="94">
        <v>0</v>
      </c>
      <c r="P72" s="94" t="s">
        <v>70</v>
      </c>
    </row>
  </sheetData>
  <mergeCells count="2">
    <mergeCell ref="A1:H1"/>
    <mergeCell ref="A3:H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90640-9F5D-EC48-8AAF-BFE57941CC11}">
  <sheetPr codeName="Sheet10"/>
  <dimension ref="A1:P64"/>
  <sheetViews>
    <sheetView workbookViewId="0">
      <selection activeCell="I20" sqref="C19:I20"/>
    </sheetView>
  </sheetViews>
  <sheetFormatPr defaultColWidth="8.81640625" defaultRowHeight="14.5" x14ac:dyDescent="0.35"/>
  <cols>
    <col min="1" max="1" width="9.1796875" bestFit="1" customWidth="1"/>
    <col min="2" max="2" width="16" bestFit="1" customWidth="1"/>
    <col min="3" max="5" width="17" bestFit="1" customWidth="1"/>
    <col min="6" max="6" width="17" style="50" bestFit="1" customWidth="1"/>
    <col min="7" max="9" width="9.1796875" style="50" bestFit="1" customWidth="1"/>
    <col min="10" max="10" width="16" style="50" bestFit="1" customWidth="1"/>
    <col min="11" max="14" width="17" style="50" bestFit="1" customWidth="1"/>
    <col min="15" max="16" width="9.1796875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953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110</v>
      </c>
      <c r="B4" s="94" t="s">
        <v>520</v>
      </c>
      <c r="C4" s="94">
        <v>70.099998474121094</v>
      </c>
      <c r="D4" s="94">
        <v>70.699996948242202</v>
      </c>
      <c r="E4" s="94">
        <v>0</v>
      </c>
      <c r="F4" s="94">
        <v>54.297248840332003</v>
      </c>
      <c r="G4" s="94">
        <v>0</v>
      </c>
      <c r="H4" s="94" t="s">
        <v>70</v>
      </c>
      <c r="I4" s="94">
        <v>110</v>
      </c>
      <c r="J4" s="94" t="s">
        <v>519</v>
      </c>
      <c r="K4" s="94">
        <v>1.9999999552965199E-2</v>
      </c>
      <c r="L4" s="94">
        <v>7.9999983310699505E-2</v>
      </c>
      <c r="M4" s="94">
        <v>3.0000001192092899E-2</v>
      </c>
      <c r="N4" s="94">
        <v>45.5849418640137</v>
      </c>
      <c r="O4" s="94">
        <v>20</v>
      </c>
      <c r="P4" s="94" t="s">
        <v>70</v>
      </c>
    </row>
    <row r="5" spans="1:16" x14ac:dyDescent="0.35">
      <c r="A5" s="94">
        <v>115</v>
      </c>
      <c r="B5" s="94" t="s">
        <v>518</v>
      </c>
      <c r="C5" s="94">
        <v>65.150001525878906</v>
      </c>
      <c r="D5" s="94">
        <v>65.699996948242202</v>
      </c>
      <c r="E5" s="94">
        <v>0</v>
      </c>
      <c r="F5" s="94">
        <v>50.276390075683601</v>
      </c>
      <c r="G5" s="94">
        <v>0</v>
      </c>
      <c r="H5" s="94" t="s">
        <v>70</v>
      </c>
      <c r="I5" s="94">
        <v>115</v>
      </c>
      <c r="J5" s="94" t="s">
        <v>517</v>
      </c>
      <c r="K5" s="94">
        <v>1.00000016391277E-2</v>
      </c>
      <c r="L5" s="94">
        <v>7.9999983310699505E-2</v>
      </c>
      <c r="M5" s="94">
        <v>0</v>
      </c>
      <c r="N5" s="94">
        <v>41.314765930175803</v>
      </c>
      <c r="O5" s="94">
        <v>0</v>
      </c>
      <c r="P5" s="94" t="s">
        <v>70</v>
      </c>
    </row>
    <row r="6" spans="1:16" x14ac:dyDescent="0.35">
      <c r="A6" s="94">
        <v>120</v>
      </c>
      <c r="B6" s="94" t="s">
        <v>516</v>
      </c>
      <c r="C6" s="94">
        <v>60.050003051757798</v>
      </c>
      <c r="D6" s="94">
        <v>60.75</v>
      </c>
      <c r="E6" s="94">
        <v>60.150009155273402</v>
      </c>
      <c r="F6" s="94">
        <v>44.273311614990199</v>
      </c>
      <c r="G6" s="94">
        <v>2</v>
      </c>
      <c r="H6" s="94" t="s">
        <v>70</v>
      </c>
      <c r="I6" s="94">
        <v>120</v>
      </c>
      <c r="J6" s="94" t="s">
        <v>515</v>
      </c>
      <c r="K6" s="94">
        <v>5.0000000745058101E-2</v>
      </c>
      <c r="L6" s="94">
        <v>7.9999983310699505E-2</v>
      </c>
      <c r="M6" s="94">
        <v>6.9999992847442599E-2</v>
      </c>
      <c r="N6" s="94">
        <v>39.384532928466797</v>
      </c>
      <c r="O6" s="94">
        <v>543</v>
      </c>
      <c r="P6" s="94" t="s">
        <v>70</v>
      </c>
    </row>
    <row r="7" spans="1:16" x14ac:dyDescent="0.35">
      <c r="A7" s="94">
        <v>125</v>
      </c>
      <c r="B7" s="94" t="s">
        <v>514</v>
      </c>
      <c r="C7" s="94">
        <v>55.5499877929688</v>
      </c>
      <c r="D7" s="94">
        <v>55.7999877929688</v>
      </c>
      <c r="E7" s="94">
        <v>0</v>
      </c>
      <c r="F7" s="94">
        <v>47.827075958252003</v>
      </c>
      <c r="G7" s="94">
        <v>0</v>
      </c>
      <c r="H7" s="94" t="s">
        <v>70</v>
      </c>
      <c r="I7" s="94">
        <v>125</v>
      </c>
      <c r="J7" s="94" t="s">
        <v>513</v>
      </c>
      <c r="K7" s="94">
        <v>6.9999992847442599E-2</v>
      </c>
      <c r="L7" s="94">
        <v>0.139999985694885</v>
      </c>
      <c r="M7" s="94">
        <v>7.9999983310699505E-2</v>
      </c>
      <c r="N7" s="94">
        <v>38.067142486572301</v>
      </c>
      <c r="O7" s="94">
        <v>10</v>
      </c>
      <c r="P7" s="94" t="s">
        <v>70</v>
      </c>
    </row>
    <row r="8" spans="1:16" x14ac:dyDescent="0.35">
      <c r="A8" s="94">
        <v>130</v>
      </c>
      <c r="B8" s="94" t="s">
        <v>512</v>
      </c>
      <c r="C8" s="94">
        <v>50.350006103515597</v>
      </c>
      <c r="D8" s="94">
        <v>50.75</v>
      </c>
      <c r="E8" s="94">
        <v>51.5</v>
      </c>
      <c r="F8" s="94">
        <v>40.227230072021499</v>
      </c>
      <c r="G8" s="94">
        <v>3</v>
      </c>
      <c r="H8" s="94" t="s">
        <v>70</v>
      </c>
      <c r="I8" s="94">
        <v>130</v>
      </c>
      <c r="J8" s="94" t="s">
        <v>511</v>
      </c>
      <c r="K8" s="94">
        <v>0.119999945163727</v>
      </c>
      <c r="L8" s="94">
        <v>0.16000002622604401</v>
      </c>
      <c r="M8" s="94">
        <v>0</v>
      </c>
      <c r="N8" s="94">
        <v>35.827762603759801</v>
      </c>
      <c r="O8" s="94">
        <v>0</v>
      </c>
      <c r="P8" s="94" t="s">
        <v>70</v>
      </c>
    </row>
    <row r="9" spans="1:16" x14ac:dyDescent="0.35">
      <c r="A9" s="94">
        <v>135</v>
      </c>
      <c r="B9" s="94" t="s">
        <v>510</v>
      </c>
      <c r="C9" s="94">
        <v>45.449996948242202</v>
      </c>
      <c r="D9" s="94">
        <v>45.75</v>
      </c>
      <c r="E9" s="94">
        <v>48.020004272460902</v>
      </c>
      <c r="F9" s="94">
        <v>37.002597808837898</v>
      </c>
      <c r="G9" s="94">
        <v>205</v>
      </c>
      <c r="H9" s="94" t="s">
        <v>70</v>
      </c>
      <c r="I9" s="94">
        <v>135</v>
      </c>
      <c r="J9" s="94" t="s">
        <v>509</v>
      </c>
      <c r="K9" s="94">
        <v>0.18000000715255701</v>
      </c>
      <c r="L9" s="94">
        <v>0.229999959468842</v>
      </c>
      <c r="M9" s="94">
        <v>0.150000035762787</v>
      </c>
      <c r="N9" s="94">
        <v>34.102878570556598</v>
      </c>
      <c r="O9" s="94">
        <v>1</v>
      </c>
      <c r="P9" s="94" t="s">
        <v>70</v>
      </c>
    </row>
    <row r="10" spans="1:16" x14ac:dyDescent="0.35">
      <c r="A10" s="94">
        <v>140</v>
      </c>
      <c r="B10" s="94" t="s">
        <v>508</v>
      </c>
      <c r="C10" s="94">
        <v>40.5</v>
      </c>
      <c r="D10" s="94">
        <v>40.849990844726598</v>
      </c>
      <c r="E10" s="94">
        <v>43.850006103515597</v>
      </c>
      <c r="F10" s="94">
        <v>34.171318054199197</v>
      </c>
      <c r="G10" s="94">
        <v>10</v>
      </c>
      <c r="H10" s="94" t="s">
        <v>70</v>
      </c>
      <c r="I10" s="94">
        <v>140</v>
      </c>
      <c r="J10" s="94" t="s">
        <v>507</v>
      </c>
      <c r="K10" s="94">
        <v>0.29000002145767201</v>
      </c>
      <c r="L10" s="94">
        <v>0.31999999284744302</v>
      </c>
      <c r="M10" s="94">
        <v>0.33000004291534402</v>
      </c>
      <c r="N10" s="94">
        <v>32.5046997070313</v>
      </c>
      <c r="O10" s="94">
        <v>328</v>
      </c>
      <c r="P10" s="94" t="s">
        <v>70</v>
      </c>
    </row>
    <row r="11" spans="1:16" x14ac:dyDescent="0.35">
      <c r="A11" s="94">
        <v>145</v>
      </c>
      <c r="B11" s="94" t="s">
        <v>506</v>
      </c>
      <c r="C11" s="94">
        <v>35.75</v>
      </c>
      <c r="D11" s="94">
        <v>35.949996948242202</v>
      </c>
      <c r="E11" s="94">
        <v>35.779998779296903</v>
      </c>
      <c r="F11" s="94">
        <v>32.245361328125</v>
      </c>
      <c r="G11" s="94">
        <v>14</v>
      </c>
      <c r="H11" s="94" t="s">
        <v>70</v>
      </c>
      <c r="I11" s="94">
        <v>145</v>
      </c>
      <c r="J11" s="94" t="s">
        <v>505</v>
      </c>
      <c r="K11" s="94">
        <v>0.43999999761581399</v>
      </c>
      <c r="L11" s="94">
        <v>0.46000003814697299</v>
      </c>
      <c r="M11" s="94">
        <v>0.44999998807907099</v>
      </c>
      <c r="N11" s="94">
        <v>30.897340774536101</v>
      </c>
      <c r="O11" s="94">
        <v>57</v>
      </c>
      <c r="P11" s="94" t="s">
        <v>70</v>
      </c>
    </row>
    <row r="12" spans="1:16" x14ac:dyDescent="0.35">
      <c r="A12" s="94">
        <v>150</v>
      </c>
      <c r="B12" s="94" t="s">
        <v>504</v>
      </c>
      <c r="C12" s="94">
        <v>30.949996948242202</v>
      </c>
      <c r="D12" s="94">
        <v>31.1499938964844</v>
      </c>
      <c r="E12" s="94">
        <v>30.8500061035156</v>
      </c>
      <c r="F12" s="94">
        <v>30.1961345672607</v>
      </c>
      <c r="G12" s="94">
        <v>54</v>
      </c>
      <c r="H12" s="94" t="s">
        <v>70</v>
      </c>
      <c r="I12" s="94">
        <v>150</v>
      </c>
      <c r="J12" s="94" t="s">
        <v>503</v>
      </c>
      <c r="K12" s="94">
        <v>0.68000000715255704</v>
      </c>
      <c r="L12" s="94">
        <v>0.68999999761581399</v>
      </c>
      <c r="M12" s="94">
        <v>0.68000000715255704</v>
      </c>
      <c r="N12" s="94">
        <v>29.543422698974599</v>
      </c>
      <c r="O12" s="94">
        <v>156</v>
      </c>
      <c r="P12" s="94" t="s">
        <v>70</v>
      </c>
    </row>
    <row r="13" spans="1:16" x14ac:dyDescent="0.35">
      <c r="A13" s="94">
        <v>155</v>
      </c>
      <c r="B13" s="94" t="s">
        <v>502</v>
      </c>
      <c r="C13" s="94">
        <v>26.300003051757798</v>
      </c>
      <c r="D13" s="94">
        <v>26.5</v>
      </c>
      <c r="E13" s="94">
        <v>27.3200073242188</v>
      </c>
      <c r="F13" s="94">
        <v>28.771938323974599</v>
      </c>
      <c r="G13" s="94">
        <v>208</v>
      </c>
      <c r="H13" s="94" t="s">
        <v>70</v>
      </c>
      <c r="I13" s="94">
        <v>155</v>
      </c>
      <c r="J13" s="94" t="s">
        <v>501</v>
      </c>
      <c r="K13" s="94">
        <v>1.05000019073486</v>
      </c>
      <c r="L13" s="94">
        <v>1.0699996948242201</v>
      </c>
      <c r="M13" s="94">
        <v>1.05000019073486</v>
      </c>
      <c r="N13" s="94">
        <v>28.4135856628418</v>
      </c>
      <c r="O13" s="94">
        <v>234</v>
      </c>
      <c r="P13" s="94" t="s">
        <v>70</v>
      </c>
    </row>
    <row r="14" spans="1:16" x14ac:dyDescent="0.35">
      <c r="A14" s="94">
        <v>160</v>
      </c>
      <c r="B14" s="94" t="s">
        <v>500</v>
      </c>
      <c r="C14" s="94">
        <v>21.849990844726602</v>
      </c>
      <c r="D14" s="94">
        <v>22</v>
      </c>
      <c r="E14" s="94">
        <v>22</v>
      </c>
      <c r="F14" s="94">
        <v>27.521236419677699</v>
      </c>
      <c r="G14" s="94">
        <v>181</v>
      </c>
      <c r="H14" s="94" t="s">
        <v>70</v>
      </c>
      <c r="I14" s="94">
        <v>160</v>
      </c>
      <c r="J14" s="94" t="s">
        <v>499</v>
      </c>
      <c r="K14" s="94">
        <v>1.6099996566772501</v>
      </c>
      <c r="L14" s="94">
        <v>1.63000011444092</v>
      </c>
      <c r="M14" s="94">
        <v>1.63000011444092</v>
      </c>
      <c r="N14" s="94">
        <v>27.346666336059599</v>
      </c>
      <c r="O14" s="94">
        <v>597</v>
      </c>
      <c r="P14" s="94" t="s">
        <v>70</v>
      </c>
    </row>
    <row r="15" spans="1:16" x14ac:dyDescent="0.35">
      <c r="A15" s="94">
        <v>165</v>
      </c>
      <c r="B15" s="94" t="s">
        <v>498</v>
      </c>
      <c r="C15" s="94">
        <v>17.6499938964844</v>
      </c>
      <c r="D15" s="94">
        <v>17.800003051757798</v>
      </c>
      <c r="E15" s="94">
        <v>17.3999938964844</v>
      </c>
      <c r="F15" s="94">
        <v>26.559686660766602</v>
      </c>
      <c r="G15" s="94">
        <v>645</v>
      </c>
      <c r="H15" s="94" t="s">
        <v>70</v>
      </c>
      <c r="I15" s="94">
        <v>165</v>
      </c>
      <c r="J15" s="94" t="s">
        <v>497</v>
      </c>
      <c r="K15" s="94">
        <v>2.42000007629394</v>
      </c>
      <c r="L15" s="94">
        <v>2.46000003814697</v>
      </c>
      <c r="M15" s="94">
        <v>2.5100002288818399</v>
      </c>
      <c r="N15" s="94">
        <v>26.358060836791999</v>
      </c>
      <c r="O15" s="94">
        <v>1046</v>
      </c>
      <c r="P15" s="94" t="s">
        <v>70</v>
      </c>
    </row>
    <row r="16" spans="1:16" x14ac:dyDescent="0.35">
      <c r="A16" s="94">
        <v>170</v>
      </c>
      <c r="B16" s="94" t="s">
        <v>496</v>
      </c>
      <c r="C16" s="94">
        <v>13.75</v>
      </c>
      <c r="D16" s="94">
        <v>13.8999996185303</v>
      </c>
      <c r="E16" s="94">
        <v>13.8999996185303</v>
      </c>
      <c r="F16" s="94">
        <v>25.546812057495099</v>
      </c>
      <c r="G16" s="94">
        <v>755</v>
      </c>
      <c r="H16" s="94" t="s">
        <v>70</v>
      </c>
      <c r="I16" s="94">
        <v>170</v>
      </c>
      <c r="J16" s="94" t="s">
        <v>495</v>
      </c>
      <c r="K16" s="94">
        <v>3.5500001907348602</v>
      </c>
      <c r="L16" s="94">
        <v>3.6500005722045898</v>
      </c>
      <c r="M16" s="94">
        <v>3.5500001907348602</v>
      </c>
      <c r="N16" s="94">
        <v>25.4253845214844</v>
      </c>
      <c r="O16" s="94">
        <v>615</v>
      </c>
      <c r="P16" s="94" t="s">
        <v>70</v>
      </c>
    </row>
    <row r="17" spans="1:16" x14ac:dyDescent="0.35">
      <c r="A17" s="94">
        <v>175</v>
      </c>
      <c r="B17" s="94" t="s">
        <v>494</v>
      </c>
      <c r="C17" s="94">
        <v>10.3500003814697</v>
      </c>
      <c r="D17" s="94">
        <v>10.5</v>
      </c>
      <c r="E17" s="94">
        <v>10.449999809265099</v>
      </c>
      <c r="F17" s="94">
        <v>24.950574874877901</v>
      </c>
      <c r="G17" s="94">
        <v>2494</v>
      </c>
      <c r="H17" s="94" t="s">
        <v>70</v>
      </c>
      <c r="I17" s="94">
        <v>175</v>
      </c>
      <c r="J17" s="94" t="s">
        <v>493</v>
      </c>
      <c r="K17" s="94">
        <v>5.1999998092651403</v>
      </c>
      <c r="L17" s="94">
        <v>5.3000001907348597</v>
      </c>
      <c r="M17" s="94">
        <v>5.3500003814697301</v>
      </c>
      <c r="N17" s="94">
        <v>24.761781692504901</v>
      </c>
      <c r="O17" s="94">
        <v>645</v>
      </c>
      <c r="P17" s="94" t="s">
        <v>70</v>
      </c>
    </row>
    <row r="18" spans="1:16" x14ac:dyDescent="0.35">
      <c r="A18" s="94">
        <v>180</v>
      </c>
      <c r="B18" s="94" t="s">
        <v>492</v>
      </c>
      <c r="C18" s="94">
        <v>7.5</v>
      </c>
      <c r="D18" s="94">
        <v>7.6000003814697301</v>
      </c>
      <c r="E18" s="94">
        <v>7.6000003814697301</v>
      </c>
      <c r="F18" s="94">
        <v>24.386035919189499</v>
      </c>
      <c r="G18" s="94">
        <v>2619</v>
      </c>
      <c r="H18" s="94" t="s">
        <v>70</v>
      </c>
      <c r="I18" s="94">
        <v>180</v>
      </c>
      <c r="J18" s="94" t="s">
        <v>491</v>
      </c>
      <c r="K18" s="94">
        <v>7.3500003814697301</v>
      </c>
      <c r="L18" s="94">
        <v>7.4499998092651403</v>
      </c>
      <c r="M18" s="94">
        <v>7.3000001907348597</v>
      </c>
      <c r="N18" s="94">
        <v>24.184730529785199</v>
      </c>
      <c r="O18" s="94">
        <v>5995</v>
      </c>
      <c r="P18" s="94" t="s">
        <v>70</v>
      </c>
    </row>
    <row r="19" spans="1:16" x14ac:dyDescent="0.35">
      <c r="A19" s="94">
        <v>185</v>
      </c>
      <c r="B19" s="94" t="s">
        <v>490</v>
      </c>
      <c r="C19" s="94">
        <v>5.1499996185302699</v>
      </c>
      <c r="D19" s="94">
        <v>5.1999998092651403</v>
      </c>
      <c r="E19" s="94">
        <v>5.25</v>
      </c>
      <c r="F19" s="94">
        <v>23.691087722778299</v>
      </c>
      <c r="G19" s="94">
        <v>2444</v>
      </c>
      <c r="H19" s="94" t="s">
        <v>70</v>
      </c>
      <c r="I19" s="94">
        <v>185</v>
      </c>
      <c r="J19" s="94" t="s">
        <v>489</v>
      </c>
      <c r="K19" s="94">
        <v>10.050000190734901</v>
      </c>
      <c r="L19" s="94">
        <v>10.1499996185303</v>
      </c>
      <c r="M19" s="94">
        <v>10.329999923706</v>
      </c>
      <c r="N19" s="94">
        <v>23.648012161254901</v>
      </c>
      <c r="O19" s="94">
        <v>591</v>
      </c>
      <c r="P19" s="94" t="s">
        <v>70</v>
      </c>
    </row>
    <row r="20" spans="1:16" x14ac:dyDescent="0.35">
      <c r="A20" s="94">
        <v>190</v>
      </c>
      <c r="B20" s="94" t="s">
        <v>488</v>
      </c>
      <c r="C20" s="94">
        <v>3.3499994277954102</v>
      </c>
      <c r="D20" s="94">
        <v>3.4499998092651398</v>
      </c>
      <c r="E20" s="94">
        <v>3.4499998092651398</v>
      </c>
      <c r="F20" s="94">
        <v>23.229934692382798</v>
      </c>
      <c r="G20" s="94">
        <v>1358</v>
      </c>
      <c r="H20" s="94" t="s">
        <v>70</v>
      </c>
      <c r="I20" s="94">
        <v>190</v>
      </c>
      <c r="J20" s="94" t="s">
        <v>487</v>
      </c>
      <c r="K20" s="94">
        <v>13.300000190734901</v>
      </c>
      <c r="L20" s="94">
        <v>13.3999996185303</v>
      </c>
      <c r="M20" s="94">
        <v>13.699999809265099</v>
      </c>
      <c r="N20" s="94">
        <v>23.217351913452099</v>
      </c>
      <c r="O20" s="94">
        <v>234</v>
      </c>
      <c r="P20" s="94" t="s">
        <v>70</v>
      </c>
    </row>
    <row r="21" spans="1:16" x14ac:dyDescent="0.35">
      <c r="A21" s="94">
        <v>195</v>
      </c>
      <c r="B21" s="94" t="s">
        <v>486</v>
      </c>
      <c r="C21" s="94">
        <v>2.1199998855590798</v>
      </c>
      <c r="D21" s="94">
        <v>2.1400003433227499</v>
      </c>
      <c r="E21" s="94">
        <v>2.1199998855590798</v>
      </c>
      <c r="F21" s="94">
        <v>22.864910125732401</v>
      </c>
      <c r="G21" s="94">
        <v>743</v>
      </c>
      <c r="H21" s="94" t="s">
        <v>70</v>
      </c>
      <c r="I21" s="94">
        <v>195</v>
      </c>
      <c r="J21" s="94" t="s">
        <v>485</v>
      </c>
      <c r="K21" s="94">
        <v>17</v>
      </c>
      <c r="L21" s="94">
        <v>17.1499938964844</v>
      </c>
      <c r="M21" s="94">
        <v>17.5</v>
      </c>
      <c r="N21" s="94">
        <v>22.8055725097656</v>
      </c>
      <c r="O21" s="94">
        <v>278</v>
      </c>
      <c r="P21" s="94" t="s">
        <v>70</v>
      </c>
    </row>
    <row r="22" spans="1:16" x14ac:dyDescent="0.35">
      <c r="A22" s="94">
        <v>200</v>
      </c>
      <c r="B22" s="94" t="s">
        <v>484</v>
      </c>
      <c r="C22" s="94">
        <v>1.30000019073486</v>
      </c>
      <c r="D22" s="94">
        <v>1.32999992370605</v>
      </c>
      <c r="E22" s="94">
        <v>1.3500003814697299</v>
      </c>
      <c r="F22" s="94">
        <v>22.811725616455099</v>
      </c>
      <c r="G22" s="94">
        <v>1022</v>
      </c>
      <c r="H22" s="94" t="s">
        <v>70</v>
      </c>
      <c r="I22" s="94">
        <v>200</v>
      </c>
      <c r="J22" s="94" t="s">
        <v>483</v>
      </c>
      <c r="K22" s="94">
        <v>21.199996948242202</v>
      </c>
      <c r="L22" s="94">
        <v>21.3500061035156</v>
      </c>
      <c r="M22" s="94">
        <v>19.8699951171875</v>
      </c>
      <c r="N22" s="94">
        <v>22.8013095855713</v>
      </c>
      <c r="O22" s="94">
        <v>137</v>
      </c>
      <c r="P22" s="94" t="s">
        <v>70</v>
      </c>
    </row>
    <row r="23" spans="1:16" x14ac:dyDescent="0.35">
      <c r="A23" s="94">
        <v>205</v>
      </c>
      <c r="B23" s="94" t="s">
        <v>482</v>
      </c>
      <c r="C23" s="94">
        <v>0.80000001192092896</v>
      </c>
      <c r="D23" s="94">
        <v>0.81000000238418601</v>
      </c>
      <c r="E23" s="94">
        <v>0.77999997138977095</v>
      </c>
      <c r="F23" s="94">
        <v>22.940996170043899</v>
      </c>
      <c r="G23" s="94">
        <v>598</v>
      </c>
      <c r="H23" s="94" t="s">
        <v>70</v>
      </c>
      <c r="I23" s="94">
        <v>205</v>
      </c>
      <c r="J23" s="94" t="s">
        <v>481</v>
      </c>
      <c r="K23" s="94">
        <v>25.6000061035156</v>
      </c>
      <c r="L23" s="94">
        <v>26.050003051757798</v>
      </c>
      <c r="M23" s="94">
        <v>0</v>
      </c>
      <c r="N23" s="94">
        <v>22.930961608886701</v>
      </c>
      <c r="O23" s="94">
        <v>0</v>
      </c>
      <c r="P23" s="94" t="s">
        <v>70</v>
      </c>
    </row>
    <row r="24" spans="1:16" x14ac:dyDescent="0.35">
      <c r="A24" s="94">
        <v>210</v>
      </c>
      <c r="B24" s="94" t="s">
        <v>480</v>
      </c>
      <c r="C24" s="94">
        <v>0.490000009536743</v>
      </c>
      <c r="D24" s="94">
        <v>0.5</v>
      </c>
      <c r="E24" s="94">
        <v>0.5</v>
      </c>
      <c r="F24" s="94">
        <v>23.2208442687988</v>
      </c>
      <c r="G24" s="94">
        <v>199</v>
      </c>
      <c r="H24" s="94" t="s">
        <v>70</v>
      </c>
      <c r="I24" s="94">
        <v>210</v>
      </c>
      <c r="J24" s="94" t="s">
        <v>479</v>
      </c>
      <c r="K24" s="94">
        <v>30.3500061035156</v>
      </c>
      <c r="L24" s="94">
        <v>30.6499938964844</v>
      </c>
      <c r="M24" s="94">
        <v>28.25</v>
      </c>
      <c r="N24" s="94">
        <v>23.255657196044901</v>
      </c>
      <c r="O24" s="94">
        <v>9</v>
      </c>
      <c r="P24" s="94" t="s">
        <v>70</v>
      </c>
    </row>
    <row r="25" spans="1:16" x14ac:dyDescent="0.35">
      <c r="A25" s="94">
        <v>215</v>
      </c>
      <c r="B25" s="94" t="s">
        <v>478</v>
      </c>
      <c r="C25" s="94">
        <v>0.30000001192092901</v>
      </c>
      <c r="D25" s="94">
        <v>0.31999999284744302</v>
      </c>
      <c r="E25" s="94">
        <v>0.35000002384185802</v>
      </c>
      <c r="F25" s="94">
        <v>23.635185241699201</v>
      </c>
      <c r="G25" s="94">
        <v>22</v>
      </c>
      <c r="H25" s="94" t="s">
        <v>70</v>
      </c>
      <c r="I25" s="94">
        <v>215</v>
      </c>
      <c r="J25" s="94" t="s">
        <v>477</v>
      </c>
      <c r="K25" s="94">
        <v>34.900009155273402</v>
      </c>
      <c r="L25" s="94">
        <v>35.599990844726598</v>
      </c>
      <c r="M25" s="94">
        <v>0</v>
      </c>
      <c r="N25" s="94">
        <v>22.803796768188501</v>
      </c>
      <c r="O25" s="94">
        <v>0</v>
      </c>
      <c r="P25" s="94" t="s">
        <v>70</v>
      </c>
    </row>
    <row r="26" spans="1:16" x14ac:dyDescent="0.35">
      <c r="A26" s="116"/>
      <c r="B26" s="116"/>
      <c r="C26" s="116"/>
      <c r="D26" s="116"/>
      <c r="E26" s="116"/>
      <c r="F26" s="116"/>
      <c r="G26" s="116"/>
      <c r="H26" s="116"/>
      <c r="O26" s="50"/>
      <c r="P26" s="50"/>
    </row>
    <row r="27" spans="1:16" x14ac:dyDescent="0.35">
      <c r="A27" s="50"/>
      <c r="B27" s="50"/>
      <c r="C27" s="50"/>
      <c r="D27" s="50"/>
      <c r="E27" s="50"/>
      <c r="O27" s="50"/>
      <c r="P27" s="50"/>
    </row>
    <row r="28" spans="1:16" x14ac:dyDescent="0.35">
      <c r="A28" s="50"/>
      <c r="B28" s="50"/>
      <c r="C28" s="50"/>
      <c r="D28" s="50"/>
      <c r="E28" s="50"/>
      <c r="O28" s="50"/>
      <c r="P28" s="50"/>
    </row>
    <row r="29" spans="1:16" x14ac:dyDescent="0.35">
      <c r="A29" s="50"/>
      <c r="B29" s="50"/>
      <c r="C29" s="50"/>
      <c r="D29" s="50"/>
      <c r="E29" s="50"/>
      <c r="O29" s="50"/>
      <c r="P29" s="50"/>
    </row>
    <row r="30" spans="1:16" x14ac:dyDescent="0.35">
      <c r="A30" s="50"/>
      <c r="B30" s="50"/>
      <c r="C30" s="50"/>
      <c r="D30" s="50"/>
      <c r="E30" s="50"/>
      <c r="O30" s="50"/>
      <c r="P30" s="50"/>
    </row>
    <row r="31" spans="1:16" x14ac:dyDescent="0.35">
      <c r="A31" s="50"/>
      <c r="B31" s="50"/>
      <c r="C31" s="50"/>
      <c r="D31" s="50"/>
      <c r="E31" s="50"/>
      <c r="O31" s="50"/>
      <c r="P31" s="50"/>
    </row>
    <row r="32" spans="1:16" x14ac:dyDescent="0.35">
      <c r="A32" s="50"/>
      <c r="B32" s="50"/>
      <c r="C32" s="50"/>
      <c r="D32" s="50"/>
      <c r="E32" s="50"/>
      <c r="O32" s="50"/>
      <c r="P32" s="50"/>
    </row>
    <row r="33" spans="1:16" x14ac:dyDescent="0.35">
      <c r="A33" s="50"/>
      <c r="B33" s="50"/>
      <c r="C33" s="50"/>
      <c r="D33" s="50"/>
      <c r="E33" s="50"/>
      <c r="O33" s="50"/>
      <c r="P33" s="50"/>
    </row>
    <row r="34" spans="1:16" x14ac:dyDescent="0.35">
      <c r="A34" s="50"/>
      <c r="B34" s="50"/>
      <c r="C34" s="50"/>
      <c r="D34" s="50"/>
      <c r="E34" s="50"/>
      <c r="O34" s="50"/>
      <c r="P34" s="50"/>
    </row>
    <row r="35" spans="1:16" x14ac:dyDescent="0.35">
      <c r="A35" s="50"/>
      <c r="B35" s="50"/>
      <c r="C35" s="50"/>
      <c r="D35" s="50"/>
      <c r="E35" s="50"/>
      <c r="O35" s="50"/>
      <c r="P35" s="50"/>
    </row>
    <row r="36" spans="1:16" x14ac:dyDescent="0.35">
      <c r="A36" s="50"/>
      <c r="B36" s="50"/>
      <c r="C36" s="50"/>
      <c r="D36" s="50"/>
      <c r="E36" s="50"/>
      <c r="O36" s="50"/>
      <c r="P36" s="50"/>
    </row>
    <row r="37" spans="1:16" x14ac:dyDescent="0.35">
      <c r="A37" s="50"/>
      <c r="B37" s="50"/>
      <c r="C37" s="50"/>
      <c r="D37" s="50"/>
      <c r="E37" s="50"/>
      <c r="O37" s="50"/>
      <c r="P37" s="50"/>
    </row>
    <row r="38" spans="1:16" x14ac:dyDescent="0.35">
      <c r="A38" s="50"/>
      <c r="B38" s="50"/>
      <c r="C38" s="50"/>
      <c r="D38" s="50"/>
      <c r="E38" s="50"/>
      <c r="O38" s="50"/>
      <c r="P38" s="50"/>
    </row>
    <row r="39" spans="1:16" x14ac:dyDescent="0.35">
      <c r="A39" s="50"/>
      <c r="B39" s="50"/>
      <c r="C39" s="50"/>
      <c r="D39" s="50"/>
      <c r="E39" s="50"/>
      <c r="O39" s="50"/>
      <c r="P39" s="50"/>
    </row>
    <row r="40" spans="1:16" x14ac:dyDescent="0.35">
      <c r="A40" s="50"/>
      <c r="B40" s="50"/>
      <c r="C40" s="50"/>
      <c r="D40" s="50"/>
      <c r="E40" s="50"/>
      <c r="O40" s="50"/>
      <c r="P40" s="50"/>
    </row>
    <row r="41" spans="1:16" x14ac:dyDescent="0.35">
      <c r="A41" s="50"/>
      <c r="B41" s="50"/>
      <c r="C41" s="50"/>
      <c r="D41" s="50"/>
      <c r="E41" s="50"/>
      <c r="O41" s="50"/>
      <c r="P41" s="50"/>
    </row>
    <row r="42" spans="1:16" x14ac:dyDescent="0.35">
      <c r="A42" s="50"/>
      <c r="B42" s="50"/>
      <c r="C42" s="50"/>
      <c r="D42" s="50"/>
      <c r="E42" s="50"/>
      <c r="O42" s="50"/>
      <c r="P42" s="50"/>
    </row>
    <row r="43" spans="1:16" x14ac:dyDescent="0.35">
      <c r="A43" s="50"/>
      <c r="B43" s="50"/>
      <c r="C43" s="50"/>
      <c r="D43" s="50"/>
      <c r="E43" s="50"/>
      <c r="O43" s="50"/>
      <c r="P43" s="50"/>
    </row>
    <row r="44" spans="1:16" x14ac:dyDescent="0.35">
      <c r="A44" s="50"/>
      <c r="B44" s="50"/>
      <c r="C44" s="50"/>
      <c r="D44" s="50"/>
      <c r="E44" s="50"/>
      <c r="O44" s="50"/>
      <c r="P44" s="50"/>
    </row>
    <row r="45" spans="1:16" x14ac:dyDescent="0.35">
      <c r="A45" s="50"/>
      <c r="B45" s="50"/>
      <c r="C45" s="50"/>
      <c r="D45" s="50"/>
      <c r="E45" s="50"/>
      <c r="O45" s="50"/>
      <c r="P45" s="50"/>
    </row>
    <row r="46" spans="1:16" x14ac:dyDescent="0.35">
      <c r="A46" s="50"/>
      <c r="B46" s="50"/>
      <c r="C46" s="50"/>
      <c r="D46" s="50"/>
      <c r="E46" s="50"/>
      <c r="O46" s="50"/>
      <c r="P46" s="50"/>
    </row>
    <row r="47" spans="1:16" x14ac:dyDescent="0.35">
      <c r="A47" s="50"/>
      <c r="B47" s="50"/>
      <c r="C47" s="50"/>
      <c r="D47" s="50"/>
      <c r="E47" s="50"/>
      <c r="O47" s="50"/>
      <c r="P47" s="50"/>
    </row>
    <row r="48" spans="1:16" x14ac:dyDescent="0.35">
      <c r="A48" s="50"/>
      <c r="B48" s="50"/>
      <c r="C48" s="50"/>
      <c r="D48" s="50"/>
      <c r="E48" s="50"/>
      <c r="O48" s="50"/>
      <c r="P48" s="50"/>
    </row>
    <row r="49" spans="1:16" x14ac:dyDescent="0.35">
      <c r="A49" s="50"/>
      <c r="B49" s="50"/>
      <c r="C49" s="50"/>
      <c r="D49" s="50"/>
      <c r="E49" s="50"/>
      <c r="O49" s="50"/>
      <c r="P49" s="50"/>
    </row>
    <row r="50" spans="1:16" x14ac:dyDescent="0.35">
      <c r="A50" s="50"/>
      <c r="B50" s="50"/>
      <c r="C50" s="50"/>
      <c r="D50" s="50"/>
      <c r="E50" s="50"/>
      <c r="O50" s="50"/>
      <c r="P50" s="50"/>
    </row>
    <row r="51" spans="1:16" x14ac:dyDescent="0.35">
      <c r="A51" s="50"/>
      <c r="B51" s="50"/>
      <c r="C51" s="50"/>
      <c r="D51" s="50"/>
      <c r="E51" s="50"/>
      <c r="O51" s="50"/>
      <c r="P51" s="50"/>
    </row>
    <row r="52" spans="1:16" x14ac:dyDescent="0.35">
      <c r="A52" s="50"/>
      <c r="B52" s="50"/>
      <c r="C52" s="50"/>
      <c r="D52" s="50"/>
      <c r="E52" s="50"/>
      <c r="O52" s="50"/>
      <c r="P52" s="50"/>
    </row>
    <row r="53" spans="1:16" x14ac:dyDescent="0.35">
      <c r="A53" s="50"/>
      <c r="B53" s="50"/>
      <c r="C53" s="50"/>
      <c r="D53" s="50"/>
      <c r="E53" s="50"/>
      <c r="O53" s="50"/>
      <c r="P53" s="50"/>
    </row>
    <row r="54" spans="1:16" x14ac:dyDescent="0.35">
      <c r="A54" s="50"/>
      <c r="B54" s="50"/>
      <c r="C54" s="50"/>
      <c r="D54" s="50"/>
      <c r="E54" s="50"/>
      <c r="O54" s="50"/>
      <c r="P54" s="50"/>
    </row>
    <row r="55" spans="1:16" x14ac:dyDescent="0.35">
      <c r="A55" s="50"/>
      <c r="B55" s="50"/>
      <c r="C55" s="50"/>
      <c r="D55" s="50"/>
      <c r="E55" s="50"/>
      <c r="O55" s="50"/>
      <c r="P55" s="50"/>
    </row>
    <row r="56" spans="1:16" x14ac:dyDescent="0.35">
      <c r="A56" s="50"/>
      <c r="B56" s="50"/>
      <c r="C56" s="50"/>
      <c r="D56" s="50"/>
      <c r="E56" s="50"/>
      <c r="O56" s="50"/>
      <c r="P56" s="50"/>
    </row>
    <row r="57" spans="1:16" x14ac:dyDescent="0.35">
      <c r="A57" s="50"/>
      <c r="B57" s="50"/>
      <c r="C57" s="50"/>
      <c r="D57" s="50"/>
      <c r="E57" s="50"/>
      <c r="O57" s="50"/>
      <c r="P57" s="50"/>
    </row>
    <row r="58" spans="1:16" x14ac:dyDescent="0.35">
      <c r="A58" s="50"/>
      <c r="B58" s="50"/>
      <c r="C58" s="50"/>
      <c r="D58" s="50"/>
      <c r="E58" s="50"/>
      <c r="O58" s="50"/>
      <c r="P58" s="50"/>
    </row>
    <row r="59" spans="1:16" x14ac:dyDescent="0.35">
      <c r="A59" s="50"/>
      <c r="B59" s="50"/>
      <c r="C59" s="50"/>
      <c r="D59" s="50"/>
      <c r="E59" s="50"/>
      <c r="O59" s="50"/>
      <c r="P59" s="50"/>
    </row>
    <row r="60" spans="1:16" x14ac:dyDescent="0.35">
      <c r="A60" s="50"/>
      <c r="B60" s="50"/>
      <c r="C60" s="50"/>
      <c r="D60" s="50"/>
      <c r="E60" s="50"/>
      <c r="O60" s="50"/>
      <c r="P60" s="50"/>
    </row>
    <row r="61" spans="1:16" x14ac:dyDescent="0.35">
      <c r="A61" s="50"/>
      <c r="B61" s="50"/>
      <c r="C61" s="50"/>
      <c r="D61" s="50"/>
      <c r="E61" s="50"/>
      <c r="O61" s="50"/>
      <c r="P61" s="50"/>
    </row>
    <row r="62" spans="1:16" x14ac:dyDescent="0.35">
      <c r="A62" s="50"/>
      <c r="B62" s="50"/>
      <c r="C62" s="50"/>
      <c r="D62" s="50"/>
      <c r="E62" s="50"/>
      <c r="O62" s="50"/>
      <c r="P62" s="50"/>
    </row>
    <row r="63" spans="1:16" x14ac:dyDescent="0.35">
      <c r="A63" s="50"/>
      <c r="B63" s="50"/>
      <c r="C63" s="50"/>
      <c r="D63" s="50"/>
      <c r="E63" s="50"/>
      <c r="O63" s="50"/>
      <c r="P63" s="50"/>
    </row>
    <row r="64" spans="1:16" x14ac:dyDescent="0.35">
      <c r="A64" s="50"/>
      <c r="B64" s="50"/>
      <c r="C64" s="50"/>
      <c r="D64" s="50"/>
      <c r="E64" s="50"/>
      <c r="O64" s="50"/>
      <c r="P64" s="50"/>
    </row>
  </sheetData>
  <mergeCells count="3">
    <mergeCell ref="A1:H1"/>
    <mergeCell ref="A3:H3"/>
    <mergeCell ref="A26:H2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0AC5E-D9FA-D449-9E4D-51EACCC7AE01}">
  <sheetPr codeName="Sheet11"/>
  <dimension ref="A1:Q42"/>
  <sheetViews>
    <sheetView zoomScale="114" workbookViewId="0">
      <selection activeCell="L18" sqref="K18:L19"/>
    </sheetView>
  </sheetViews>
  <sheetFormatPr defaultColWidth="8.81640625" defaultRowHeight="14.5" x14ac:dyDescent="0.35"/>
  <cols>
    <col min="1" max="2" width="9.1796875" style="50" bestFit="1" customWidth="1"/>
    <col min="3" max="6" width="17" style="50" bestFit="1" customWidth="1"/>
    <col min="7" max="10" width="9.1796875" style="50" bestFit="1" customWidth="1"/>
    <col min="11" max="14" width="17" style="50" bestFit="1" customWidth="1"/>
    <col min="15" max="16" width="9.1796875" style="50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954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70</v>
      </c>
      <c r="B4" s="94" t="s">
        <v>476</v>
      </c>
      <c r="C4" s="94">
        <v>109.199996948242</v>
      </c>
      <c r="D4" s="94">
        <v>111.349990844727</v>
      </c>
      <c r="E4" s="94">
        <v>0</v>
      </c>
      <c r="F4" s="94">
        <v>85.752388000488295</v>
      </c>
      <c r="G4" s="94">
        <v>0</v>
      </c>
      <c r="H4" s="94" t="s">
        <v>70</v>
      </c>
      <c r="I4" s="94">
        <v>70</v>
      </c>
      <c r="J4" s="94" t="s">
        <v>475</v>
      </c>
      <c r="K4" s="94">
        <v>0</v>
      </c>
      <c r="L4" s="94">
        <v>1.9999999552965199E-2</v>
      </c>
      <c r="M4" s="94">
        <v>0</v>
      </c>
      <c r="N4" s="94">
        <v>64.150688171386705</v>
      </c>
      <c r="O4" s="94">
        <v>0</v>
      </c>
      <c r="P4" s="94" t="s">
        <v>70</v>
      </c>
    </row>
    <row r="5" spans="1:16" x14ac:dyDescent="0.35">
      <c r="A5" s="94">
        <v>75</v>
      </c>
      <c r="B5" s="94" t="s">
        <v>474</v>
      </c>
      <c r="C5" s="94">
        <v>104.25</v>
      </c>
      <c r="D5" s="94">
        <v>106.39999389648401</v>
      </c>
      <c r="E5" s="94">
        <v>0</v>
      </c>
      <c r="F5" s="94">
        <v>81.624794006347699</v>
      </c>
      <c r="G5" s="94">
        <v>0</v>
      </c>
      <c r="H5" s="94" t="s">
        <v>70</v>
      </c>
      <c r="I5" s="94">
        <v>75</v>
      </c>
      <c r="J5" s="94" t="s">
        <v>473</v>
      </c>
      <c r="K5" s="94">
        <v>0</v>
      </c>
      <c r="L5" s="94">
        <v>3.0000001192092899E-2</v>
      </c>
      <c r="M5" s="94">
        <v>0</v>
      </c>
      <c r="N5" s="94">
        <v>62.043930053710902</v>
      </c>
      <c r="O5" s="94">
        <v>0</v>
      </c>
      <c r="P5" s="94" t="s">
        <v>70</v>
      </c>
    </row>
    <row r="6" spans="1:16" x14ac:dyDescent="0.35">
      <c r="A6" s="94">
        <v>80</v>
      </c>
      <c r="B6" s="94" t="s">
        <v>472</v>
      </c>
      <c r="C6" s="94">
        <v>99.25</v>
      </c>
      <c r="D6" s="94">
        <v>101.39999389648401</v>
      </c>
      <c r="E6" s="94">
        <v>0</v>
      </c>
      <c r="F6" s="94">
        <v>75.208877563476605</v>
      </c>
      <c r="G6" s="94">
        <v>0</v>
      </c>
      <c r="H6" s="94" t="s">
        <v>70</v>
      </c>
      <c r="I6" s="94">
        <v>80</v>
      </c>
      <c r="J6" s="94" t="s">
        <v>471</v>
      </c>
      <c r="K6" s="94">
        <v>0</v>
      </c>
      <c r="L6" s="94">
        <v>3.9999999105930301E-2</v>
      </c>
      <c r="M6" s="94">
        <v>0</v>
      </c>
      <c r="N6" s="94">
        <v>59.421974182128899</v>
      </c>
      <c r="O6" s="94">
        <v>0</v>
      </c>
      <c r="P6" s="94" t="s">
        <v>70</v>
      </c>
    </row>
    <row r="7" spans="1:16" x14ac:dyDescent="0.35">
      <c r="A7" s="94">
        <v>85</v>
      </c>
      <c r="B7" s="94" t="s">
        <v>470</v>
      </c>
      <c r="C7" s="94">
        <v>94.300003051757798</v>
      </c>
      <c r="D7" s="94">
        <v>96.449996948242202</v>
      </c>
      <c r="E7" s="94">
        <v>0</v>
      </c>
      <c r="F7" s="94">
        <v>71.472984313964801</v>
      </c>
      <c r="G7" s="94">
        <v>0</v>
      </c>
      <c r="H7" s="94" t="s">
        <v>70</v>
      </c>
      <c r="I7" s="94">
        <v>85</v>
      </c>
      <c r="J7" s="94" t="s">
        <v>469</v>
      </c>
      <c r="K7" s="94">
        <v>0</v>
      </c>
      <c r="L7" s="94">
        <v>3.9999999105930301E-2</v>
      </c>
      <c r="M7" s="94">
        <v>0</v>
      </c>
      <c r="N7" s="94">
        <v>55.250782012939503</v>
      </c>
      <c r="O7" s="94">
        <v>0</v>
      </c>
      <c r="P7" s="94" t="s">
        <v>70</v>
      </c>
    </row>
    <row r="8" spans="1:16" x14ac:dyDescent="0.35">
      <c r="A8" s="94">
        <v>90</v>
      </c>
      <c r="B8" s="94" t="s">
        <v>468</v>
      </c>
      <c r="C8" s="94">
        <v>89.300003051757798</v>
      </c>
      <c r="D8" s="94">
        <v>91.449996948242202</v>
      </c>
      <c r="E8" s="94">
        <v>0</v>
      </c>
      <c r="F8" s="94">
        <v>65.801124572753906</v>
      </c>
      <c r="G8" s="94">
        <v>0</v>
      </c>
      <c r="H8" s="94" t="s">
        <v>70</v>
      </c>
      <c r="I8" s="94">
        <v>90</v>
      </c>
      <c r="J8" s="94" t="s">
        <v>467</v>
      </c>
      <c r="K8" s="94">
        <v>0</v>
      </c>
      <c r="L8" s="94">
        <v>6.9999992847442599E-2</v>
      </c>
      <c r="M8" s="94">
        <v>0</v>
      </c>
      <c r="N8" s="94">
        <v>54.563022613525398</v>
      </c>
      <c r="O8" s="94">
        <v>0</v>
      </c>
      <c r="P8" s="94" t="s">
        <v>70</v>
      </c>
    </row>
    <row r="9" spans="1:16" x14ac:dyDescent="0.35">
      <c r="A9" s="94">
        <v>95</v>
      </c>
      <c r="B9" s="94" t="s">
        <v>466</v>
      </c>
      <c r="C9" s="94">
        <v>84.25</v>
      </c>
      <c r="D9" s="94">
        <v>86.449996948242202</v>
      </c>
      <c r="E9" s="94">
        <v>0</v>
      </c>
      <c r="F9" s="94">
        <v>59.371089935302699</v>
      </c>
      <c r="G9" s="94">
        <v>0</v>
      </c>
      <c r="H9" s="94" t="s">
        <v>70</v>
      </c>
      <c r="I9" s="94">
        <v>95</v>
      </c>
      <c r="J9" s="94" t="s">
        <v>465</v>
      </c>
      <c r="K9" s="94">
        <v>1.00000016391277E-2</v>
      </c>
      <c r="L9" s="94">
        <v>0.10000002384185799</v>
      </c>
      <c r="M9" s="94">
        <v>0</v>
      </c>
      <c r="N9" s="94">
        <v>49.2550659179688</v>
      </c>
      <c r="O9" s="94">
        <v>0</v>
      </c>
      <c r="P9" s="94" t="s">
        <v>70</v>
      </c>
    </row>
    <row r="10" spans="1:16" x14ac:dyDescent="0.35">
      <c r="A10" s="94">
        <v>100</v>
      </c>
      <c r="B10" s="94" t="s">
        <v>464</v>
      </c>
      <c r="C10" s="94">
        <v>79.349998474121094</v>
      </c>
      <c r="D10" s="94">
        <v>81.5</v>
      </c>
      <c r="E10" s="94">
        <v>0</v>
      </c>
      <c r="F10" s="94">
        <v>57.2637748718262</v>
      </c>
      <c r="G10" s="94">
        <v>0</v>
      </c>
      <c r="H10" s="94" t="s">
        <v>70</v>
      </c>
      <c r="I10" s="94">
        <v>100</v>
      </c>
      <c r="J10" s="94" t="s">
        <v>463</v>
      </c>
      <c r="K10" s="94">
        <v>3.0000001192092899E-2</v>
      </c>
      <c r="L10" s="94">
        <v>0.10000002384185799</v>
      </c>
      <c r="M10" s="94">
        <v>0</v>
      </c>
      <c r="N10" s="94">
        <v>46.479118347167997</v>
      </c>
      <c r="O10" s="94">
        <v>0</v>
      </c>
      <c r="P10" s="94" t="s">
        <v>70</v>
      </c>
    </row>
    <row r="11" spans="1:16" x14ac:dyDescent="0.35">
      <c r="A11" s="94">
        <v>105</v>
      </c>
      <c r="B11" s="94" t="s">
        <v>462</v>
      </c>
      <c r="C11" s="94">
        <v>74.5</v>
      </c>
      <c r="D11" s="94">
        <v>76.5</v>
      </c>
      <c r="E11" s="94">
        <v>0</v>
      </c>
      <c r="F11" s="94">
        <v>54.752498626708999</v>
      </c>
      <c r="G11" s="94">
        <v>0</v>
      </c>
      <c r="H11" s="94" t="s">
        <v>70</v>
      </c>
      <c r="I11" s="94">
        <v>105</v>
      </c>
      <c r="J11" s="94" t="s">
        <v>461</v>
      </c>
      <c r="K11" s="94">
        <v>3.0000001192092899E-2</v>
      </c>
      <c r="L11" s="94">
        <v>0.10000002384185799</v>
      </c>
      <c r="M11" s="94">
        <v>0</v>
      </c>
      <c r="N11" s="94">
        <v>42.9327201843262</v>
      </c>
      <c r="O11" s="94">
        <v>0</v>
      </c>
      <c r="P11" s="94" t="s">
        <v>70</v>
      </c>
    </row>
    <row r="12" spans="1:16" x14ac:dyDescent="0.35">
      <c r="A12" s="94">
        <v>110</v>
      </c>
      <c r="B12" s="94" t="s">
        <v>460</v>
      </c>
      <c r="C12" s="94">
        <v>69.550003051757798</v>
      </c>
      <c r="D12" s="94">
        <v>71.5</v>
      </c>
      <c r="E12" s="94">
        <v>0</v>
      </c>
      <c r="F12" s="94">
        <v>50.772853851318402</v>
      </c>
      <c r="G12" s="94">
        <v>0</v>
      </c>
      <c r="H12" s="94" t="s">
        <v>70</v>
      </c>
      <c r="I12" s="94">
        <v>110</v>
      </c>
      <c r="J12" s="94" t="s">
        <v>459</v>
      </c>
      <c r="K12" s="94">
        <v>5.0000000745058101E-2</v>
      </c>
      <c r="L12" s="94">
        <v>0.110000014305115</v>
      </c>
      <c r="M12" s="94">
        <v>9.0000033378601102E-2</v>
      </c>
      <c r="N12" s="94">
        <v>40.542556762695298</v>
      </c>
      <c r="O12" s="94">
        <v>3</v>
      </c>
      <c r="P12" s="94" t="s">
        <v>70</v>
      </c>
    </row>
    <row r="13" spans="1:16" x14ac:dyDescent="0.35">
      <c r="A13" s="94">
        <v>115</v>
      </c>
      <c r="B13" s="94" t="s">
        <v>458</v>
      </c>
      <c r="C13" s="94">
        <v>64.550003051757798</v>
      </c>
      <c r="D13" s="94">
        <v>66.550003051757798</v>
      </c>
      <c r="E13" s="94">
        <v>0</v>
      </c>
      <c r="F13" s="94">
        <v>46.934486389160199</v>
      </c>
      <c r="G13" s="94">
        <v>0</v>
      </c>
      <c r="H13" s="94" t="s">
        <v>70</v>
      </c>
      <c r="I13" s="94">
        <v>115</v>
      </c>
      <c r="J13" s="94" t="s">
        <v>457</v>
      </c>
      <c r="K13" s="94">
        <v>7.9999983310699505E-2</v>
      </c>
      <c r="L13" s="94">
        <v>0.16000002622604401</v>
      </c>
      <c r="M13" s="94">
        <v>0</v>
      </c>
      <c r="N13" s="94">
        <v>39.213043212890597</v>
      </c>
      <c r="O13" s="94">
        <v>0</v>
      </c>
      <c r="P13" s="94" t="s">
        <v>70</v>
      </c>
    </row>
    <row r="14" spans="1:16" x14ac:dyDescent="0.35">
      <c r="A14" s="94">
        <v>120</v>
      </c>
      <c r="B14" s="94" t="s">
        <v>456</v>
      </c>
      <c r="C14" s="94">
        <v>60.050003051757798</v>
      </c>
      <c r="D14" s="94">
        <v>60.699996948242202</v>
      </c>
      <c r="E14" s="94">
        <v>63.800003051757798</v>
      </c>
      <c r="F14" s="94">
        <v>37.355354309082003</v>
      </c>
      <c r="G14" s="94">
        <v>4</v>
      </c>
      <c r="H14" s="94" t="s">
        <v>70</v>
      </c>
      <c r="I14" s="94">
        <v>120</v>
      </c>
      <c r="J14" s="94" t="s">
        <v>455</v>
      </c>
      <c r="K14" s="94">
        <v>0.129999995231628</v>
      </c>
      <c r="L14" s="94">
        <v>0.16000002622604401</v>
      </c>
      <c r="M14" s="94">
        <v>0.139999985694885</v>
      </c>
      <c r="N14" s="94">
        <v>36.823215484619098</v>
      </c>
      <c r="O14" s="94">
        <v>79</v>
      </c>
      <c r="P14" s="94" t="s">
        <v>70</v>
      </c>
    </row>
    <row r="15" spans="1:16" x14ac:dyDescent="0.35">
      <c r="A15" s="94">
        <v>125</v>
      </c>
      <c r="B15" s="94" t="s">
        <v>454</v>
      </c>
      <c r="C15" s="94">
        <v>54.599998474121101</v>
      </c>
      <c r="D15" s="94">
        <v>56.650009155273402</v>
      </c>
      <c r="E15" s="94">
        <v>0</v>
      </c>
      <c r="F15" s="94">
        <v>40.096233367919901</v>
      </c>
      <c r="G15" s="94">
        <v>0</v>
      </c>
      <c r="H15" s="94" t="s">
        <v>70</v>
      </c>
      <c r="I15" s="94">
        <v>125</v>
      </c>
      <c r="J15" s="94" t="s">
        <v>453</v>
      </c>
      <c r="K15" s="94">
        <v>0.18000000715255701</v>
      </c>
      <c r="L15" s="94">
        <v>0.229999959468842</v>
      </c>
      <c r="M15" s="94">
        <v>0.20999997854232799</v>
      </c>
      <c r="N15" s="94">
        <v>35.294906616210902</v>
      </c>
      <c r="O15" s="94">
        <v>23</v>
      </c>
      <c r="P15" s="94" t="s">
        <v>70</v>
      </c>
    </row>
    <row r="16" spans="1:16" x14ac:dyDescent="0.35">
      <c r="A16" s="94">
        <v>130</v>
      </c>
      <c r="B16" s="94" t="s">
        <v>452</v>
      </c>
      <c r="C16" s="94">
        <v>50.350006103515597</v>
      </c>
      <c r="D16" s="94">
        <v>50.75</v>
      </c>
      <c r="E16" s="94">
        <v>52.300003051757798</v>
      </c>
      <c r="F16" s="94">
        <v>34.6308784484863</v>
      </c>
      <c r="G16" s="94">
        <v>88</v>
      </c>
      <c r="H16" s="94" t="s">
        <v>70</v>
      </c>
      <c r="I16" s="94">
        <v>130</v>
      </c>
      <c r="J16" s="94" t="s">
        <v>451</v>
      </c>
      <c r="K16" s="94">
        <v>0.25</v>
      </c>
      <c r="L16" s="94">
        <v>0.27999997138977101</v>
      </c>
      <c r="M16" s="94">
        <v>0.22000002861022899</v>
      </c>
      <c r="N16" s="94">
        <v>33.321689605712898</v>
      </c>
      <c r="O16" s="94">
        <v>61</v>
      </c>
      <c r="P16" s="94" t="s">
        <v>70</v>
      </c>
    </row>
    <row r="17" spans="1:17" x14ac:dyDescent="0.35">
      <c r="A17" s="94">
        <v>135</v>
      </c>
      <c r="B17" s="94" t="s">
        <v>450</v>
      </c>
      <c r="C17" s="94">
        <v>44.75</v>
      </c>
      <c r="D17" s="94">
        <v>45.850006103515597</v>
      </c>
      <c r="E17" s="94">
        <v>48.25</v>
      </c>
      <c r="F17" s="94">
        <v>0</v>
      </c>
      <c r="G17" s="94">
        <v>1</v>
      </c>
      <c r="H17" s="94" t="s">
        <v>70</v>
      </c>
      <c r="I17" s="94">
        <v>135</v>
      </c>
      <c r="J17" s="94" t="s">
        <v>449</v>
      </c>
      <c r="K17" s="94">
        <v>0.35000002384185802</v>
      </c>
      <c r="L17" s="94">
        <v>0.38999998569488498</v>
      </c>
      <c r="M17" s="94">
        <v>0.35000002384185802</v>
      </c>
      <c r="N17" s="94">
        <v>31.800804138183601</v>
      </c>
      <c r="O17" s="94">
        <v>112</v>
      </c>
      <c r="P17" s="94" t="s">
        <v>70</v>
      </c>
    </row>
    <row r="18" spans="1:17" x14ac:dyDescent="0.35">
      <c r="A18" s="94">
        <v>140</v>
      </c>
      <c r="B18" s="94" t="s">
        <v>448</v>
      </c>
      <c r="C18" s="94">
        <v>40.599990844726598</v>
      </c>
      <c r="D18" s="94">
        <v>41</v>
      </c>
      <c r="E18" s="94">
        <v>40.699996948242202</v>
      </c>
      <c r="F18" s="94">
        <v>30.4845676422119</v>
      </c>
      <c r="G18" s="94">
        <v>80</v>
      </c>
      <c r="H18" s="94" t="s">
        <v>70</v>
      </c>
      <c r="I18" s="94">
        <v>140</v>
      </c>
      <c r="J18" s="94" t="s">
        <v>447</v>
      </c>
      <c r="K18" s="94">
        <v>0.5</v>
      </c>
      <c r="L18" s="94">
        <v>0.54000002145767201</v>
      </c>
      <c r="M18" s="94">
        <v>0.43999999761581399</v>
      </c>
      <c r="N18" s="94">
        <v>30.359006881713899</v>
      </c>
      <c r="O18" s="94">
        <v>463</v>
      </c>
      <c r="P18" s="94" t="s">
        <v>70</v>
      </c>
      <c r="Q18" s="49"/>
    </row>
    <row r="19" spans="1:17" x14ac:dyDescent="0.35">
      <c r="A19" s="94">
        <v>145</v>
      </c>
      <c r="B19" s="94" t="s">
        <v>446</v>
      </c>
      <c r="C19" s="94">
        <v>35.7999877929688</v>
      </c>
      <c r="D19" s="94">
        <v>36.25</v>
      </c>
      <c r="E19" s="94">
        <v>36</v>
      </c>
      <c r="F19" s="94">
        <v>29.283363342285199</v>
      </c>
      <c r="G19" s="94">
        <v>2</v>
      </c>
      <c r="H19" s="94" t="s">
        <v>70</v>
      </c>
      <c r="I19" s="94">
        <v>145</v>
      </c>
      <c r="J19" s="94" t="s">
        <v>445</v>
      </c>
      <c r="K19" s="94">
        <v>0.730000019073486</v>
      </c>
      <c r="L19" s="94">
        <v>0.75999999046325695</v>
      </c>
      <c r="M19" s="94">
        <v>0.730000019073486</v>
      </c>
      <c r="N19" s="94">
        <v>29.0879611968994</v>
      </c>
      <c r="O19" s="94">
        <v>289</v>
      </c>
      <c r="P19" s="94" t="s">
        <v>70</v>
      </c>
    </row>
    <row r="20" spans="1:17" x14ac:dyDescent="0.35">
      <c r="A20" s="94">
        <v>150</v>
      </c>
      <c r="B20" s="94" t="s">
        <v>444</v>
      </c>
      <c r="C20" s="94">
        <v>31.300003051757798</v>
      </c>
      <c r="D20" s="94">
        <v>31.5</v>
      </c>
      <c r="E20" s="94">
        <v>31.25</v>
      </c>
      <c r="F20" s="94">
        <v>28.4823894500732</v>
      </c>
      <c r="G20" s="94">
        <v>35</v>
      </c>
      <c r="H20" s="94" t="s">
        <v>70</v>
      </c>
      <c r="I20" s="94">
        <v>150</v>
      </c>
      <c r="J20" s="94" t="s">
        <v>443</v>
      </c>
      <c r="K20" s="94">
        <v>1.0699996948242201</v>
      </c>
      <c r="L20" s="94">
        <v>1.1000003814697299</v>
      </c>
      <c r="M20" s="94">
        <v>1.11999988555908</v>
      </c>
      <c r="N20" s="94">
        <v>28.007841110229499</v>
      </c>
      <c r="O20" s="94">
        <v>92</v>
      </c>
      <c r="P20" s="94" t="s">
        <v>70</v>
      </c>
    </row>
    <row r="21" spans="1:17" x14ac:dyDescent="0.35">
      <c r="A21" s="94">
        <v>155</v>
      </c>
      <c r="B21" s="94" t="s">
        <v>442</v>
      </c>
      <c r="C21" s="94">
        <v>26.75</v>
      </c>
      <c r="D21" s="94">
        <v>27</v>
      </c>
      <c r="E21" s="94">
        <v>26.3099975585938</v>
      </c>
      <c r="F21" s="94">
        <v>27.357969284057599</v>
      </c>
      <c r="G21" s="94">
        <v>124</v>
      </c>
      <c r="H21" s="94" t="s">
        <v>70</v>
      </c>
      <c r="I21" s="94">
        <v>155</v>
      </c>
      <c r="J21" s="94" t="s">
        <v>441</v>
      </c>
      <c r="K21" s="94">
        <v>1.5600004196167001</v>
      </c>
      <c r="L21" s="94">
        <v>1.6000003814697299</v>
      </c>
      <c r="M21" s="94">
        <v>1.57999992370605</v>
      </c>
      <c r="N21" s="94">
        <v>27.044723510742202</v>
      </c>
      <c r="O21" s="94">
        <v>404</v>
      </c>
      <c r="P21" s="94" t="s">
        <v>70</v>
      </c>
    </row>
    <row r="22" spans="1:17" x14ac:dyDescent="0.35">
      <c r="A22" s="94">
        <v>160</v>
      </c>
      <c r="B22" s="94" t="s">
        <v>440</v>
      </c>
      <c r="C22" s="94">
        <v>22.449996948242202</v>
      </c>
      <c r="D22" s="94">
        <v>22.6499938964844</v>
      </c>
      <c r="E22" s="94">
        <v>22.240005493164102</v>
      </c>
      <c r="F22" s="94">
        <v>26.357629776001001</v>
      </c>
      <c r="G22" s="94">
        <v>151</v>
      </c>
      <c r="H22" s="94" t="s">
        <v>70</v>
      </c>
      <c r="I22" s="94">
        <v>160</v>
      </c>
      <c r="J22" s="94" t="s">
        <v>439</v>
      </c>
      <c r="K22" s="94">
        <v>2.2399997711181601</v>
      </c>
      <c r="L22" s="94">
        <v>2.2699995040893599</v>
      </c>
      <c r="M22" s="94">
        <v>2.3100004196167001</v>
      </c>
      <c r="N22" s="94">
        <v>26.0513401031494</v>
      </c>
      <c r="O22" s="94">
        <v>242</v>
      </c>
      <c r="P22" s="94" t="s">
        <v>70</v>
      </c>
    </row>
    <row r="23" spans="1:17" x14ac:dyDescent="0.35">
      <c r="A23" s="94">
        <v>165</v>
      </c>
      <c r="B23" s="94" t="s">
        <v>438</v>
      </c>
      <c r="C23" s="94">
        <v>18.3999938964844</v>
      </c>
      <c r="D23" s="94">
        <v>18.5499877929688</v>
      </c>
      <c r="E23" s="94">
        <v>18.5</v>
      </c>
      <c r="F23" s="94">
        <v>25.413505554199201</v>
      </c>
      <c r="G23" s="94">
        <v>561</v>
      </c>
      <c r="H23" s="94" t="s">
        <v>70</v>
      </c>
      <c r="I23" s="94">
        <v>165</v>
      </c>
      <c r="J23" s="94" t="s">
        <v>437</v>
      </c>
      <c r="K23" s="94">
        <v>3.1500005722045898</v>
      </c>
      <c r="L23" s="94">
        <v>3.25</v>
      </c>
      <c r="M23" s="94">
        <v>3.1800003051757799</v>
      </c>
      <c r="N23" s="94">
        <v>25.177150726318398</v>
      </c>
      <c r="O23" s="94">
        <v>165</v>
      </c>
      <c r="P23" s="94" t="s">
        <v>70</v>
      </c>
    </row>
    <row r="24" spans="1:17" x14ac:dyDescent="0.35">
      <c r="A24" s="94">
        <v>170</v>
      </c>
      <c r="B24" s="94" t="s">
        <v>436</v>
      </c>
      <c r="C24" s="94">
        <v>14.699999809265099</v>
      </c>
      <c r="D24" s="94">
        <v>14.8500003814697</v>
      </c>
      <c r="E24" s="94">
        <v>14.7700004577637</v>
      </c>
      <c r="F24" s="94">
        <v>24.709836959838899</v>
      </c>
      <c r="G24" s="94">
        <v>1352</v>
      </c>
      <c r="H24" s="94" t="s">
        <v>70</v>
      </c>
      <c r="I24" s="94">
        <v>170</v>
      </c>
      <c r="J24" s="94" t="s">
        <v>435</v>
      </c>
      <c r="K24" s="94">
        <v>4.4499998092651403</v>
      </c>
      <c r="L24" s="94">
        <v>4.5500001907348597</v>
      </c>
      <c r="M24" s="94">
        <v>4.4499998092651403</v>
      </c>
      <c r="N24" s="94">
        <v>24.4514255523682</v>
      </c>
      <c r="O24" s="94">
        <v>202</v>
      </c>
      <c r="P24" s="94" t="s">
        <v>70</v>
      </c>
    </row>
    <row r="25" spans="1:17" x14ac:dyDescent="0.35">
      <c r="A25" s="94">
        <v>175</v>
      </c>
      <c r="B25" s="94" t="s">
        <v>434</v>
      </c>
      <c r="C25" s="94">
        <v>11.3999996185303</v>
      </c>
      <c r="D25" s="94">
        <v>11.550000190734901</v>
      </c>
      <c r="E25" s="94">
        <v>11.560000419616699</v>
      </c>
      <c r="F25" s="94">
        <v>24.0585632324219</v>
      </c>
      <c r="G25" s="94">
        <v>1755</v>
      </c>
      <c r="H25" s="94" t="s">
        <v>70</v>
      </c>
      <c r="I25" s="94">
        <v>175</v>
      </c>
      <c r="J25" s="94" t="s">
        <v>433</v>
      </c>
      <c r="K25" s="94">
        <v>6.1499996185302699</v>
      </c>
      <c r="L25" s="94">
        <v>6.25</v>
      </c>
      <c r="M25" s="94">
        <v>6.1500005722045898</v>
      </c>
      <c r="N25" s="94">
        <v>23.824234008789102</v>
      </c>
      <c r="O25" s="94">
        <v>442</v>
      </c>
      <c r="P25" s="94" t="s">
        <v>70</v>
      </c>
    </row>
    <row r="26" spans="1:17" x14ac:dyDescent="0.35">
      <c r="A26" s="94">
        <v>180</v>
      </c>
      <c r="B26" s="94" t="s">
        <v>432</v>
      </c>
      <c r="C26" s="94">
        <v>8.6000003814697301</v>
      </c>
      <c r="D26" s="94">
        <v>8.6499996185302699</v>
      </c>
      <c r="E26" s="94">
        <v>8.75</v>
      </c>
      <c r="F26" s="94">
        <v>23.408035278320298</v>
      </c>
      <c r="G26" s="94">
        <v>1477</v>
      </c>
      <c r="H26" s="94" t="s">
        <v>70</v>
      </c>
      <c r="I26" s="94">
        <v>180</v>
      </c>
      <c r="J26" s="94" t="s">
        <v>431</v>
      </c>
      <c r="K26" s="94">
        <v>8.3500003814697301</v>
      </c>
      <c r="L26" s="94">
        <v>8.4499998092651403</v>
      </c>
      <c r="M26" s="94">
        <v>8.3999996185302699</v>
      </c>
      <c r="N26" s="94">
        <v>23.392978668212901</v>
      </c>
      <c r="O26" s="94">
        <v>692</v>
      </c>
      <c r="P26" s="94" t="s">
        <v>70</v>
      </c>
    </row>
    <row r="27" spans="1:17" x14ac:dyDescent="0.35">
      <c r="A27" s="94">
        <v>185</v>
      </c>
      <c r="B27" s="94" t="s">
        <v>430</v>
      </c>
      <c r="C27" s="94">
        <v>6.1999998092651403</v>
      </c>
      <c r="D27" s="94">
        <v>6.3000001907348597</v>
      </c>
      <c r="E27" s="94">
        <v>6.28999996185303</v>
      </c>
      <c r="F27" s="94">
        <v>22.819622039794901</v>
      </c>
      <c r="G27" s="94">
        <v>2041</v>
      </c>
      <c r="H27" s="94" t="s">
        <v>70</v>
      </c>
      <c r="I27" s="94">
        <v>185</v>
      </c>
      <c r="J27" s="94" t="s">
        <v>429</v>
      </c>
      <c r="K27" s="94">
        <v>11</v>
      </c>
      <c r="L27" s="94">
        <v>11.1000003814697</v>
      </c>
      <c r="M27" s="94">
        <v>11</v>
      </c>
      <c r="N27" s="94">
        <v>22.8617134094238</v>
      </c>
      <c r="O27" s="94">
        <v>339</v>
      </c>
      <c r="P27" s="94" t="s">
        <v>70</v>
      </c>
    </row>
    <row r="28" spans="1:17" x14ac:dyDescent="0.35">
      <c r="A28" s="94">
        <v>190</v>
      </c>
      <c r="B28" s="94" t="s">
        <v>428</v>
      </c>
      <c r="C28" s="94">
        <v>4.3500003814697301</v>
      </c>
      <c r="D28" s="94">
        <v>4.4499998092651403</v>
      </c>
      <c r="E28" s="94">
        <v>4.4400005340576199</v>
      </c>
      <c r="F28" s="94">
        <v>22.4358425140381</v>
      </c>
      <c r="G28" s="94">
        <v>1936</v>
      </c>
      <c r="H28" s="94" t="s">
        <v>70</v>
      </c>
      <c r="I28" s="94">
        <v>190</v>
      </c>
      <c r="J28" s="94" t="s">
        <v>427</v>
      </c>
      <c r="K28" s="94">
        <v>14.1499996185303</v>
      </c>
      <c r="L28" s="94">
        <v>14.25</v>
      </c>
      <c r="M28" s="94">
        <v>14.3699998855591</v>
      </c>
      <c r="N28" s="94">
        <v>22.355775833129901</v>
      </c>
      <c r="O28" s="94">
        <v>116</v>
      </c>
      <c r="P28" s="94" t="s">
        <v>70</v>
      </c>
    </row>
    <row r="29" spans="1:17" x14ac:dyDescent="0.35">
      <c r="A29" s="94">
        <v>195</v>
      </c>
      <c r="B29" s="94" t="s">
        <v>426</v>
      </c>
      <c r="C29" s="94">
        <v>2.9800004959106499</v>
      </c>
      <c r="D29" s="94">
        <v>3.04999923706055</v>
      </c>
      <c r="E29" s="94">
        <v>2.9700002670288099</v>
      </c>
      <c r="F29" s="94">
        <v>22.189935684204102</v>
      </c>
      <c r="G29" s="94">
        <v>600</v>
      </c>
      <c r="H29" s="94" t="s">
        <v>70</v>
      </c>
      <c r="I29" s="94">
        <v>195</v>
      </c>
      <c r="J29" s="94" t="s">
        <v>425</v>
      </c>
      <c r="K29" s="94">
        <v>17.75</v>
      </c>
      <c r="L29" s="94">
        <v>17.8500061035156</v>
      </c>
      <c r="M29" s="94">
        <v>17.550003051757798</v>
      </c>
      <c r="N29" s="94">
        <v>22.004451751708999</v>
      </c>
      <c r="O29" s="94">
        <v>92</v>
      </c>
      <c r="P29" s="94" t="s">
        <v>70</v>
      </c>
    </row>
    <row r="30" spans="1:17" x14ac:dyDescent="0.35">
      <c r="A30" s="94">
        <v>200</v>
      </c>
      <c r="B30" s="94" t="s">
        <v>424</v>
      </c>
      <c r="C30" s="94">
        <v>2.0200004577636701</v>
      </c>
      <c r="D30" s="94">
        <v>2.0299997329711901</v>
      </c>
      <c r="E30" s="94">
        <v>2.0200004577636701</v>
      </c>
      <c r="F30" s="94">
        <v>22.080322265625</v>
      </c>
      <c r="G30" s="94">
        <v>1722</v>
      </c>
      <c r="H30" s="94" t="s">
        <v>70</v>
      </c>
      <c r="I30" s="94">
        <v>200</v>
      </c>
      <c r="J30" s="94" t="s">
        <v>423</v>
      </c>
      <c r="K30" s="94">
        <v>21.75</v>
      </c>
      <c r="L30" s="94">
        <v>21.949996948242202</v>
      </c>
      <c r="M30" s="94">
        <v>22</v>
      </c>
      <c r="N30" s="94">
        <v>22.117250442504901</v>
      </c>
      <c r="O30" s="94">
        <v>53</v>
      </c>
      <c r="P30" s="94" t="s">
        <v>70</v>
      </c>
    </row>
    <row r="31" spans="1:17" x14ac:dyDescent="0.35">
      <c r="A31" s="94">
        <v>205</v>
      </c>
      <c r="B31" s="94" t="s">
        <v>422</v>
      </c>
      <c r="C31" s="94">
        <v>1.3100004196167001</v>
      </c>
      <c r="D31" s="94">
        <v>1.34000015258789</v>
      </c>
      <c r="E31" s="94">
        <v>1.32999992370605</v>
      </c>
      <c r="F31" s="94">
        <v>22.0021877288818</v>
      </c>
      <c r="G31" s="94">
        <v>1665</v>
      </c>
      <c r="H31" s="94" t="s">
        <v>70</v>
      </c>
      <c r="I31" s="94">
        <v>205</v>
      </c>
      <c r="J31" s="94" t="s">
        <v>421</v>
      </c>
      <c r="K31" s="94">
        <v>25.8999938964844</v>
      </c>
      <c r="L31" s="94">
        <v>26.7999877929688</v>
      </c>
      <c r="M31" s="94">
        <v>0</v>
      </c>
      <c r="N31" s="94">
        <v>23.121072769165</v>
      </c>
      <c r="O31" s="94">
        <v>0</v>
      </c>
      <c r="P31" s="94" t="s">
        <v>70</v>
      </c>
    </row>
    <row r="32" spans="1:17" x14ac:dyDescent="0.35">
      <c r="A32" s="94">
        <v>210</v>
      </c>
      <c r="B32" s="94" t="s">
        <v>420</v>
      </c>
      <c r="C32" s="94">
        <v>0.86000001430511497</v>
      </c>
      <c r="D32" s="94">
        <v>0.87999999523162797</v>
      </c>
      <c r="E32" s="94">
        <v>0.89999997615814198</v>
      </c>
      <c r="F32" s="94">
        <v>22.1044311523438</v>
      </c>
      <c r="G32" s="94">
        <v>1098</v>
      </c>
      <c r="H32" s="94" t="s">
        <v>70</v>
      </c>
      <c r="I32" s="94">
        <v>210</v>
      </c>
      <c r="J32" s="94" t="s">
        <v>419</v>
      </c>
      <c r="K32" s="94">
        <v>30.599990844726602</v>
      </c>
      <c r="L32" s="94">
        <v>30.949996948242202</v>
      </c>
      <c r="M32" s="94">
        <v>28.0899963378906</v>
      </c>
      <c r="N32" s="94">
        <v>22.168125152587901</v>
      </c>
      <c r="O32" s="94">
        <v>2</v>
      </c>
      <c r="P32" s="94" t="s">
        <v>70</v>
      </c>
    </row>
    <row r="33" spans="1:16" x14ac:dyDescent="0.35">
      <c r="A33" s="94">
        <v>215</v>
      </c>
      <c r="B33" s="94" t="s">
        <v>418</v>
      </c>
      <c r="C33" s="94">
        <v>0.56999999284744296</v>
      </c>
      <c r="D33" s="94">
        <v>0.58999997377395597</v>
      </c>
      <c r="E33" s="94">
        <v>0.57999998331069902</v>
      </c>
      <c r="F33" s="94">
        <v>22.364355087280298</v>
      </c>
      <c r="G33" s="94">
        <v>395</v>
      </c>
      <c r="H33" s="94" t="s">
        <v>70</v>
      </c>
      <c r="I33" s="94">
        <v>215</v>
      </c>
      <c r="J33" s="94" t="s">
        <v>417</v>
      </c>
      <c r="K33" s="94">
        <v>34.549999237060497</v>
      </c>
      <c r="L33" s="94">
        <v>36.350006103515597</v>
      </c>
      <c r="M33" s="94">
        <v>0</v>
      </c>
      <c r="N33" s="94">
        <v>22.0618572235107</v>
      </c>
      <c r="O33" s="94">
        <v>0</v>
      </c>
      <c r="P33" s="94" t="s">
        <v>70</v>
      </c>
    </row>
    <row r="34" spans="1:16" x14ac:dyDescent="0.35">
      <c r="A34" s="94">
        <v>220</v>
      </c>
      <c r="B34" s="94" t="s">
        <v>416</v>
      </c>
      <c r="C34" s="94">
        <v>0.37999999523162797</v>
      </c>
      <c r="D34" s="94">
        <v>0.41000002622604398</v>
      </c>
      <c r="E34" s="94">
        <v>0.41000002622604398</v>
      </c>
      <c r="F34" s="94">
        <v>22.742639541626001</v>
      </c>
      <c r="G34" s="94">
        <v>62</v>
      </c>
      <c r="H34" s="94" t="s">
        <v>70</v>
      </c>
      <c r="I34" s="94">
        <v>220</v>
      </c>
      <c r="J34" s="94" t="s">
        <v>415</v>
      </c>
      <c r="K34" s="94">
        <v>39.25</v>
      </c>
      <c r="L34" s="94">
        <v>41.300003051757798</v>
      </c>
      <c r="M34" s="94">
        <v>0</v>
      </c>
      <c r="N34" s="94">
        <v>22.3774013519287</v>
      </c>
      <c r="O34" s="94">
        <v>0</v>
      </c>
      <c r="P34" s="94" t="s">
        <v>70</v>
      </c>
    </row>
    <row r="35" spans="1:16" x14ac:dyDescent="0.35">
      <c r="A35" s="94">
        <v>225</v>
      </c>
      <c r="B35" s="94" t="s">
        <v>414</v>
      </c>
      <c r="C35" s="94">
        <v>0.259999990463257</v>
      </c>
      <c r="D35" s="94">
        <v>0.31000000238418601</v>
      </c>
      <c r="E35" s="94">
        <v>0.30000001192092901</v>
      </c>
      <c r="F35" s="94">
        <v>23.344312667846701</v>
      </c>
      <c r="G35" s="94">
        <v>129</v>
      </c>
      <c r="H35" s="94" t="s">
        <v>70</v>
      </c>
      <c r="I35" s="94">
        <v>225</v>
      </c>
      <c r="J35" s="94" t="s">
        <v>413</v>
      </c>
      <c r="K35" s="94">
        <v>44.150001525878899</v>
      </c>
      <c r="L35" s="94">
        <v>46</v>
      </c>
      <c r="M35" s="94">
        <v>0</v>
      </c>
      <c r="N35" s="94">
        <v>0</v>
      </c>
      <c r="O35" s="94">
        <v>0</v>
      </c>
      <c r="P35" s="94" t="s">
        <v>70</v>
      </c>
    </row>
    <row r="36" spans="1:16" x14ac:dyDescent="0.35">
      <c r="A36" s="94">
        <v>230</v>
      </c>
      <c r="B36" s="94" t="s">
        <v>412</v>
      </c>
      <c r="C36" s="94">
        <v>0.19999998807907099</v>
      </c>
      <c r="D36" s="94">
        <v>0.230000019073486</v>
      </c>
      <c r="E36" s="94">
        <v>0.230000019073486</v>
      </c>
      <c r="F36" s="94">
        <v>24.066665649414102</v>
      </c>
      <c r="G36" s="94">
        <v>201</v>
      </c>
      <c r="H36" s="94" t="s">
        <v>70</v>
      </c>
      <c r="I36" s="94">
        <v>230</v>
      </c>
      <c r="J36" s="94" t="s">
        <v>411</v>
      </c>
      <c r="K36" s="94">
        <v>49.150001525878899</v>
      </c>
      <c r="L36" s="94">
        <v>50.949996948242202</v>
      </c>
      <c r="M36" s="94">
        <v>0</v>
      </c>
      <c r="N36" s="94">
        <v>0</v>
      </c>
      <c r="O36" s="94">
        <v>0</v>
      </c>
      <c r="P36" s="94" t="s">
        <v>70</v>
      </c>
    </row>
    <row r="37" spans="1:16" x14ac:dyDescent="0.35">
      <c r="A37" s="94">
        <v>235</v>
      </c>
      <c r="B37" s="94" t="s">
        <v>410</v>
      </c>
      <c r="C37" s="94">
        <v>0.150000035762787</v>
      </c>
      <c r="D37" s="94">
        <v>0.18000000715255701</v>
      </c>
      <c r="E37" s="94">
        <v>0.16000002622604401</v>
      </c>
      <c r="F37" s="94">
        <v>24.790472030639599</v>
      </c>
      <c r="G37" s="94">
        <v>200</v>
      </c>
      <c r="H37" s="94" t="s">
        <v>70</v>
      </c>
      <c r="I37" s="94">
        <v>235</v>
      </c>
      <c r="J37" s="94" t="s">
        <v>409</v>
      </c>
      <c r="K37" s="94">
        <v>54.049999237060497</v>
      </c>
      <c r="L37" s="94">
        <v>56</v>
      </c>
      <c r="M37" s="94">
        <v>0</v>
      </c>
      <c r="N37" s="94">
        <v>0</v>
      </c>
      <c r="O37" s="94">
        <v>0</v>
      </c>
      <c r="P37" s="94" t="s">
        <v>70</v>
      </c>
    </row>
    <row r="38" spans="1:16" x14ac:dyDescent="0.35">
      <c r="A38" s="94">
        <v>240</v>
      </c>
      <c r="B38" s="94" t="s">
        <v>408</v>
      </c>
      <c r="C38" s="94">
        <v>0.119999945163727</v>
      </c>
      <c r="D38" s="94">
        <v>0.18000000715255701</v>
      </c>
      <c r="E38" s="94">
        <v>0.129999995231628</v>
      </c>
      <c r="F38" s="94">
        <v>26.065698623657202</v>
      </c>
      <c r="G38" s="94">
        <v>50</v>
      </c>
      <c r="H38" s="94" t="s">
        <v>70</v>
      </c>
      <c r="I38" s="94">
        <v>240</v>
      </c>
      <c r="J38" s="94" t="s">
        <v>407</v>
      </c>
      <c r="K38" s="94">
        <v>59.049999237060497</v>
      </c>
      <c r="L38" s="94">
        <v>60.949996948242202</v>
      </c>
      <c r="M38" s="94">
        <v>0</v>
      </c>
      <c r="N38" s="94">
        <v>0</v>
      </c>
      <c r="O38" s="94">
        <v>0</v>
      </c>
      <c r="P38" s="94" t="s">
        <v>70</v>
      </c>
    </row>
    <row r="39" spans="1:16" x14ac:dyDescent="0.35">
      <c r="A39" s="94">
        <v>245</v>
      </c>
      <c r="B39" s="94" t="s">
        <v>406</v>
      </c>
      <c r="C39" s="94">
        <v>0.10000002384185799</v>
      </c>
      <c r="D39" s="94">
        <v>0.120000004768372</v>
      </c>
      <c r="E39" s="94">
        <v>0</v>
      </c>
      <c r="F39" s="94">
        <v>26.493593215942401</v>
      </c>
      <c r="G39" s="94">
        <v>0</v>
      </c>
      <c r="H39" s="94" t="s">
        <v>70</v>
      </c>
      <c r="I39" s="94">
        <v>245</v>
      </c>
      <c r="J39" s="94" t="s">
        <v>405</v>
      </c>
      <c r="K39" s="94">
        <v>64.099998474121094</v>
      </c>
      <c r="L39" s="94">
        <v>66</v>
      </c>
      <c r="M39" s="94">
        <v>0</v>
      </c>
      <c r="N39" s="94">
        <v>0</v>
      </c>
      <c r="O39" s="94">
        <v>0</v>
      </c>
      <c r="P39" s="94" t="s">
        <v>70</v>
      </c>
    </row>
    <row r="40" spans="1:16" x14ac:dyDescent="0.35">
      <c r="A40" s="94">
        <v>250</v>
      </c>
      <c r="B40" s="94" t="s">
        <v>404</v>
      </c>
      <c r="C40" s="94">
        <v>7.9999983310699505E-2</v>
      </c>
      <c r="D40" s="94">
        <v>9.9999964237213093E-2</v>
      </c>
      <c r="E40" s="94">
        <v>7.9999983310699505E-2</v>
      </c>
      <c r="F40" s="94">
        <v>27.2605381011963</v>
      </c>
      <c r="G40" s="94">
        <v>25</v>
      </c>
      <c r="H40" s="94" t="s">
        <v>70</v>
      </c>
      <c r="I40" s="94">
        <v>250</v>
      </c>
      <c r="J40" s="94" t="s">
        <v>403</v>
      </c>
      <c r="K40" s="94">
        <v>69.550003051757798</v>
      </c>
      <c r="L40" s="94">
        <v>71</v>
      </c>
      <c r="M40" s="94">
        <v>0</v>
      </c>
      <c r="N40" s="94">
        <v>34.5655517578125</v>
      </c>
      <c r="O40" s="94">
        <v>0</v>
      </c>
      <c r="P40" s="94" t="s">
        <v>70</v>
      </c>
    </row>
    <row r="41" spans="1:16" x14ac:dyDescent="0.35">
      <c r="A41" s="94">
        <v>260</v>
      </c>
      <c r="B41" s="94" t="s">
        <v>402</v>
      </c>
      <c r="C41" s="94">
        <v>3.9999999105930301E-2</v>
      </c>
      <c r="D41" s="94">
        <v>0.129999995231628</v>
      </c>
      <c r="E41" s="94">
        <v>0</v>
      </c>
      <c r="F41" s="94">
        <v>29.826639175415</v>
      </c>
      <c r="G41" s="94">
        <v>0</v>
      </c>
      <c r="H41" s="94" t="s">
        <v>70</v>
      </c>
      <c r="I41" s="94">
        <v>260</v>
      </c>
      <c r="J41" s="94" t="s">
        <v>401</v>
      </c>
      <c r="K41" s="94">
        <v>79</v>
      </c>
      <c r="L41" s="94">
        <v>81.099990844726605</v>
      </c>
      <c r="M41" s="94">
        <v>0</v>
      </c>
      <c r="N41" s="94">
        <v>0</v>
      </c>
      <c r="O41" s="94">
        <v>0</v>
      </c>
      <c r="P41" s="94" t="s">
        <v>70</v>
      </c>
    </row>
    <row r="42" spans="1:16" x14ac:dyDescent="0.35">
      <c r="A42" s="116"/>
      <c r="B42" s="116"/>
      <c r="C42" s="116"/>
      <c r="D42" s="116"/>
      <c r="E42" s="116"/>
      <c r="F42" s="116"/>
      <c r="G42" s="116"/>
      <c r="H42" s="116"/>
    </row>
  </sheetData>
  <mergeCells count="3">
    <mergeCell ref="A1:H1"/>
    <mergeCell ref="A3:H3"/>
    <mergeCell ref="A42:H4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E5772-C5FB-4147-B432-E81BFAD4B310}">
  <sheetPr codeName="Sheet12"/>
  <dimension ref="A1:P76"/>
  <sheetViews>
    <sheetView topLeftCell="A14" workbookViewId="0">
      <selection activeCell="I47" sqref="D47:I47"/>
    </sheetView>
  </sheetViews>
  <sheetFormatPr defaultColWidth="8.81640625" defaultRowHeight="14.5" x14ac:dyDescent="0.35"/>
  <cols>
    <col min="1" max="2" width="9.1796875" bestFit="1" customWidth="1"/>
    <col min="3" max="5" width="17" bestFit="1" customWidth="1"/>
    <col min="6" max="6" width="17" style="50" bestFit="1" customWidth="1"/>
    <col min="7" max="10" width="9.1796875" style="50" bestFit="1" customWidth="1"/>
    <col min="11" max="14" width="17" style="50" bestFit="1" customWidth="1"/>
    <col min="15" max="16" width="9.1796875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955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2.5</v>
      </c>
      <c r="B4" s="94" t="s">
        <v>522</v>
      </c>
      <c r="C4" s="94">
        <v>176.44999694824199</v>
      </c>
      <c r="D4" s="94">
        <v>178.60000610351599</v>
      </c>
      <c r="E4" s="94">
        <v>0</v>
      </c>
      <c r="F4" s="94">
        <v>409.07980346679699</v>
      </c>
      <c r="G4" s="94">
        <v>0</v>
      </c>
      <c r="H4" s="94" t="s">
        <v>70</v>
      </c>
      <c r="I4" s="94">
        <v>2.5</v>
      </c>
      <c r="J4" s="94" t="s">
        <v>523</v>
      </c>
      <c r="K4" s="94">
        <v>0</v>
      </c>
      <c r="L4" s="94">
        <v>1.9999999552965199E-2</v>
      </c>
      <c r="M4" s="94">
        <v>0</v>
      </c>
      <c r="N4" s="94">
        <v>256.76239013671898</v>
      </c>
      <c r="O4" s="94">
        <v>0</v>
      </c>
      <c r="P4" s="94" t="s">
        <v>70</v>
      </c>
    </row>
    <row r="5" spans="1:16" x14ac:dyDescent="0.35">
      <c r="A5" s="94">
        <v>5</v>
      </c>
      <c r="B5" s="94" t="s">
        <v>524</v>
      </c>
      <c r="C5" s="94">
        <v>173.94999694824199</v>
      </c>
      <c r="D5" s="94">
        <v>176.10000610351599</v>
      </c>
      <c r="E5" s="94">
        <v>0</v>
      </c>
      <c r="F5" s="94">
        <v>309.43417358398398</v>
      </c>
      <c r="G5" s="94">
        <v>0</v>
      </c>
      <c r="H5" s="94" t="s">
        <v>70</v>
      </c>
      <c r="I5" s="94">
        <v>5</v>
      </c>
      <c r="J5" s="94" t="s">
        <v>525</v>
      </c>
      <c r="K5" s="94">
        <v>0</v>
      </c>
      <c r="L5" s="94">
        <v>1.9999999552965199E-2</v>
      </c>
      <c r="M5" s="94">
        <v>0</v>
      </c>
      <c r="N5" s="94">
        <v>210.36605834960901</v>
      </c>
      <c r="O5" s="94">
        <v>0</v>
      </c>
      <c r="P5" s="94" t="s">
        <v>70</v>
      </c>
    </row>
    <row r="6" spans="1:16" x14ac:dyDescent="0.35">
      <c r="A6" s="94">
        <v>7.5</v>
      </c>
      <c r="B6" s="94" t="s">
        <v>526</v>
      </c>
      <c r="C6" s="94">
        <v>171.5</v>
      </c>
      <c r="D6" s="94">
        <v>173.64999389648401</v>
      </c>
      <c r="E6" s="94">
        <v>0</v>
      </c>
      <c r="F6" s="94">
        <v>271.60366821289102</v>
      </c>
      <c r="G6" s="94">
        <v>0</v>
      </c>
      <c r="H6" s="94" t="s">
        <v>70</v>
      </c>
      <c r="I6" s="94">
        <v>7.5</v>
      </c>
      <c r="J6" s="94" t="s">
        <v>527</v>
      </c>
      <c r="K6" s="94">
        <v>0</v>
      </c>
      <c r="L6" s="94">
        <v>1.9999999552965199E-2</v>
      </c>
      <c r="M6" s="94">
        <v>0</v>
      </c>
      <c r="N6" s="94">
        <v>184.58753967285199</v>
      </c>
      <c r="O6" s="94">
        <v>0</v>
      </c>
      <c r="P6" s="94" t="s">
        <v>70</v>
      </c>
    </row>
    <row r="7" spans="1:16" x14ac:dyDescent="0.35">
      <c r="A7" s="94">
        <v>10</v>
      </c>
      <c r="B7" s="94" t="s">
        <v>528</v>
      </c>
      <c r="C7" s="94">
        <v>168.89999389648401</v>
      </c>
      <c r="D7" s="94">
        <v>171.10000610351599</v>
      </c>
      <c r="E7" s="94">
        <v>0</v>
      </c>
      <c r="F7" s="94">
        <v>225.87013244628901</v>
      </c>
      <c r="G7" s="94">
        <v>0</v>
      </c>
      <c r="H7" s="94" t="s">
        <v>70</v>
      </c>
      <c r="I7" s="94">
        <v>10</v>
      </c>
      <c r="J7" s="94" t="s">
        <v>529</v>
      </c>
      <c r="K7" s="94">
        <v>0</v>
      </c>
      <c r="L7" s="94">
        <v>1.9999999552965199E-2</v>
      </c>
      <c r="M7" s="94">
        <v>0</v>
      </c>
      <c r="N7" s="94">
        <v>166.83970642089801</v>
      </c>
      <c r="O7" s="94">
        <v>0</v>
      </c>
      <c r="P7" s="94" t="s">
        <v>70</v>
      </c>
    </row>
    <row r="8" spans="1:16" x14ac:dyDescent="0.35">
      <c r="A8" s="94">
        <v>12.5</v>
      </c>
      <c r="B8" s="94" t="s">
        <v>530</v>
      </c>
      <c r="C8" s="94">
        <v>166.39999389648401</v>
      </c>
      <c r="D8" s="94">
        <v>168.60000610351599</v>
      </c>
      <c r="E8" s="94">
        <v>0</v>
      </c>
      <c r="F8" s="94">
        <v>203.529861450195</v>
      </c>
      <c r="G8" s="94">
        <v>0</v>
      </c>
      <c r="H8" s="94" t="s">
        <v>70</v>
      </c>
      <c r="I8" s="94">
        <v>12.5</v>
      </c>
      <c r="J8" s="94" t="s">
        <v>531</v>
      </c>
      <c r="K8" s="94">
        <v>0</v>
      </c>
      <c r="L8" s="94">
        <v>1.9999999552965199E-2</v>
      </c>
      <c r="M8" s="94">
        <v>0</v>
      </c>
      <c r="N8" s="94">
        <v>153.328536987305</v>
      </c>
      <c r="O8" s="94">
        <v>0</v>
      </c>
      <c r="P8" s="94" t="s">
        <v>70</v>
      </c>
    </row>
    <row r="9" spans="1:16" x14ac:dyDescent="0.35">
      <c r="A9" s="94">
        <v>15</v>
      </c>
      <c r="B9" s="94" t="s">
        <v>532</v>
      </c>
      <c r="C9" s="94">
        <v>163.89999389648401</v>
      </c>
      <c r="D9" s="94">
        <v>166.10000610351599</v>
      </c>
      <c r="E9" s="94">
        <v>0</v>
      </c>
      <c r="F9" s="94">
        <v>185.830154418945</v>
      </c>
      <c r="G9" s="94">
        <v>0</v>
      </c>
      <c r="H9" s="94" t="s">
        <v>70</v>
      </c>
      <c r="I9" s="94">
        <v>15</v>
      </c>
      <c r="J9" s="94" t="s">
        <v>533</v>
      </c>
      <c r="K9" s="94">
        <v>0</v>
      </c>
      <c r="L9" s="94">
        <v>1.9999999552965199E-2</v>
      </c>
      <c r="M9" s="94">
        <v>0</v>
      </c>
      <c r="N9" s="94">
        <v>142.46343994140599</v>
      </c>
      <c r="O9" s="94">
        <v>0</v>
      </c>
      <c r="P9" s="94" t="s">
        <v>70</v>
      </c>
    </row>
    <row r="10" spans="1:16" x14ac:dyDescent="0.35">
      <c r="A10" s="94">
        <v>17.5</v>
      </c>
      <c r="B10" s="94" t="s">
        <v>534</v>
      </c>
      <c r="C10" s="94">
        <v>161.5</v>
      </c>
      <c r="D10" s="94">
        <v>163.64999389648401</v>
      </c>
      <c r="E10" s="94">
        <v>0</v>
      </c>
      <c r="F10" s="94">
        <v>183.57632446289099</v>
      </c>
      <c r="G10" s="94">
        <v>0</v>
      </c>
      <c r="H10" s="94" t="s">
        <v>70</v>
      </c>
      <c r="I10" s="94">
        <v>17.5</v>
      </c>
      <c r="J10" s="94" t="s">
        <v>535</v>
      </c>
      <c r="K10" s="94">
        <v>0</v>
      </c>
      <c r="L10" s="94">
        <v>1.9999999552965199E-2</v>
      </c>
      <c r="M10" s="94">
        <v>0</v>
      </c>
      <c r="N10" s="94">
        <v>133.37428283691401</v>
      </c>
      <c r="O10" s="94">
        <v>0</v>
      </c>
      <c r="P10" s="94" t="s">
        <v>70</v>
      </c>
    </row>
    <row r="11" spans="1:16" x14ac:dyDescent="0.35">
      <c r="A11" s="94">
        <v>20</v>
      </c>
      <c r="B11" s="94" t="s">
        <v>536</v>
      </c>
      <c r="C11" s="94">
        <v>159</v>
      </c>
      <c r="D11" s="94">
        <v>161.14999389648401</v>
      </c>
      <c r="E11" s="94">
        <v>0</v>
      </c>
      <c r="F11" s="94">
        <v>170.88336181640599</v>
      </c>
      <c r="G11" s="94">
        <v>0</v>
      </c>
      <c r="H11" s="94" t="s">
        <v>70</v>
      </c>
      <c r="I11" s="94">
        <v>20</v>
      </c>
      <c r="J11" s="94" t="s">
        <v>537</v>
      </c>
      <c r="K11" s="94">
        <v>0</v>
      </c>
      <c r="L11" s="94">
        <v>1.9999999552965199E-2</v>
      </c>
      <c r="M11" s="94">
        <v>0</v>
      </c>
      <c r="N11" s="94">
        <v>125.579872131348</v>
      </c>
      <c r="O11" s="94">
        <v>0</v>
      </c>
      <c r="P11" s="94" t="s">
        <v>70</v>
      </c>
    </row>
    <row r="12" spans="1:16" x14ac:dyDescent="0.35">
      <c r="A12" s="94">
        <v>22.5</v>
      </c>
      <c r="B12" s="94" t="s">
        <v>538</v>
      </c>
      <c r="C12" s="94">
        <v>156.5</v>
      </c>
      <c r="D12" s="94">
        <v>158.69999694824199</v>
      </c>
      <c r="E12" s="94">
        <v>0</v>
      </c>
      <c r="F12" s="94">
        <v>162.83811950683599</v>
      </c>
      <c r="G12" s="94">
        <v>0</v>
      </c>
      <c r="H12" s="94" t="s">
        <v>70</v>
      </c>
      <c r="I12" s="94">
        <v>22.5</v>
      </c>
      <c r="J12" s="94" t="s">
        <v>539</v>
      </c>
      <c r="K12" s="94">
        <v>0</v>
      </c>
      <c r="L12" s="94">
        <v>1.9999999552965199E-2</v>
      </c>
      <c r="M12" s="94">
        <v>0</v>
      </c>
      <c r="N12" s="94">
        <v>118.758193969727</v>
      </c>
      <c r="O12" s="94">
        <v>0</v>
      </c>
      <c r="P12" s="94" t="s">
        <v>70</v>
      </c>
    </row>
    <row r="13" spans="1:16" x14ac:dyDescent="0.35">
      <c r="A13" s="94">
        <v>25</v>
      </c>
      <c r="B13" s="94" t="s">
        <v>540</v>
      </c>
      <c r="C13" s="94">
        <v>153.94999694824199</v>
      </c>
      <c r="D13" s="94">
        <v>156.14999389648401</v>
      </c>
      <c r="E13" s="94">
        <v>0</v>
      </c>
      <c r="F13" s="94">
        <v>146.74072265625</v>
      </c>
      <c r="G13" s="94">
        <v>0</v>
      </c>
      <c r="H13" s="94" t="s">
        <v>70</v>
      </c>
      <c r="I13" s="94">
        <v>25</v>
      </c>
      <c r="J13" s="94" t="s">
        <v>541</v>
      </c>
      <c r="K13" s="94">
        <v>0</v>
      </c>
      <c r="L13" s="94">
        <v>1.9999999552965199E-2</v>
      </c>
      <c r="M13" s="94">
        <v>0</v>
      </c>
      <c r="N13" s="94">
        <v>112.694618225098</v>
      </c>
      <c r="O13" s="94">
        <v>0</v>
      </c>
      <c r="P13" s="94" t="s">
        <v>70</v>
      </c>
    </row>
    <row r="14" spans="1:16" x14ac:dyDescent="0.35">
      <c r="A14" s="94">
        <v>30</v>
      </c>
      <c r="B14" s="94" t="s">
        <v>542</v>
      </c>
      <c r="C14" s="94">
        <v>149</v>
      </c>
      <c r="D14" s="94">
        <v>151.19999694824199</v>
      </c>
      <c r="E14" s="94">
        <v>0</v>
      </c>
      <c r="F14" s="94">
        <v>136.33538818359401</v>
      </c>
      <c r="G14" s="94">
        <v>0</v>
      </c>
      <c r="H14" s="94" t="s">
        <v>70</v>
      </c>
      <c r="I14" s="94">
        <v>30</v>
      </c>
      <c r="J14" s="94" t="s">
        <v>543</v>
      </c>
      <c r="K14" s="94">
        <v>0</v>
      </c>
      <c r="L14" s="94">
        <v>1.9999999552965199E-2</v>
      </c>
      <c r="M14" s="94">
        <v>0</v>
      </c>
      <c r="N14" s="94">
        <v>102.286674499512</v>
      </c>
      <c r="O14" s="94">
        <v>0</v>
      </c>
      <c r="P14" s="94" t="s">
        <v>70</v>
      </c>
    </row>
    <row r="15" spans="1:16" x14ac:dyDescent="0.35">
      <c r="A15" s="94">
        <v>35</v>
      </c>
      <c r="B15" s="94" t="s">
        <v>544</v>
      </c>
      <c r="C15" s="94">
        <v>144.10000610351599</v>
      </c>
      <c r="D15" s="94">
        <v>146.25</v>
      </c>
      <c r="E15" s="94">
        <v>0</v>
      </c>
      <c r="F15" s="94">
        <v>129.18894958496099</v>
      </c>
      <c r="G15" s="94">
        <v>0</v>
      </c>
      <c r="H15" s="94" t="s">
        <v>70</v>
      </c>
      <c r="I15" s="94">
        <v>35</v>
      </c>
      <c r="J15" s="94" t="s">
        <v>545</v>
      </c>
      <c r="K15" s="94">
        <v>0</v>
      </c>
      <c r="L15" s="94">
        <v>1.9999999552965199E-2</v>
      </c>
      <c r="M15" s="94">
        <v>0</v>
      </c>
      <c r="N15" s="94">
        <v>93.560134887695298</v>
      </c>
      <c r="O15" s="94">
        <v>0</v>
      </c>
      <c r="P15" s="94" t="s">
        <v>70</v>
      </c>
    </row>
    <row r="16" spans="1:16" x14ac:dyDescent="0.35">
      <c r="A16" s="94">
        <v>40</v>
      </c>
      <c r="B16" s="94" t="s">
        <v>546</v>
      </c>
      <c r="C16" s="94">
        <v>139.10000610351599</v>
      </c>
      <c r="D16" s="94">
        <v>141.25</v>
      </c>
      <c r="E16" s="94">
        <v>0</v>
      </c>
      <c r="F16" s="94">
        <v>117.15990447998099</v>
      </c>
      <c r="G16" s="94">
        <v>0</v>
      </c>
      <c r="H16" s="94" t="s">
        <v>70</v>
      </c>
      <c r="I16" s="94">
        <v>40</v>
      </c>
      <c r="J16" s="94" t="s">
        <v>547</v>
      </c>
      <c r="K16" s="94">
        <v>0</v>
      </c>
      <c r="L16" s="94">
        <v>1.9999999552965199E-2</v>
      </c>
      <c r="M16" s="94">
        <v>0</v>
      </c>
      <c r="N16" s="94">
        <v>86.051429748535199</v>
      </c>
      <c r="O16" s="94">
        <v>0</v>
      </c>
      <c r="P16" s="94" t="s">
        <v>70</v>
      </c>
    </row>
    <row r="17" spans="1:16" x14ac:dyDescent="0.35">
      <c r="A17" s="94">
        <v>45</v>
      </c>
      <c r="B17" s="94" t="s">
        <v>548</v>
      </c>
      <c r="C17" s="94">
        <v>134.10000610351599</v>
      </c>
      <c r="D17" s="94">
        <v>136.25</v>
      </c>
      <c r="E17" s="94">
        <v>0</v>
      </c>
      <c r="F17" s="94">
        <v>106.648445129395</v>
      </c>
      <c r="G17" s="94">
        <v>0</v>
      </c>
      <c r="H17" s="94" t="s">
        <v>70</v>
      </c>
      <c r="I17" s="94">
        <v>45</v>
      </c>
      <c r="J17" s="94" t="s">
        <v>549</v>
      </c>
      <c r="K17" s="94">
        <v>0</v>
      </c>
      <c r="L17" s="94">
        <v>1.9999999552965199E-2</v>
      </c>
      <c r="M17" s="94">
        <v>0</v>
      </c>
      <c r="N17" s="94">
        <v>79.463005065917997</v>
      </c>
      <c r="O17" s="94">
        <v>0</v>
      </c>
      <c r="P17" s="94" t="s">
        <v>70</v>
      </c>
    </row>
    <row r="18" spans="1:16" x14ac:dyDescent="0.35">
      <c r="A18" s="94">
        <v>50</v>
      </c>
      <c r="B18" s="94" t="s">
        <v>550</v>
      </c>
      <c r="C18" s="94">
        <v>129.14999389648401</v>
      </c>
      <c r="D18" s="94">
        <v>131.30000305175801</v>
      </c>
      <c r="E18" s="94">
        <v>0</v>
      </c>
      <c r="F18" s="94">
        <v>100.680252075195</v>
      </c>
      <c r="G18" s="94">
        <v>0</v>
      </c>
      <c r="H18" s="94" t="s">
        <v>70</v>
      </c>
      <c r="I18" s="94">
        <v>50</v>
      </c>
      <c r="J18" s="94" t="s">
        <v>551</v>
      </c>
      <c r="K18" s="94">
        <v>0</v>
      </c>
      <c r="L18" s="94">
        <v>1.9999999552965199E-2</v>
      </c>
      <c r="M18" s="94">
        <v>0</v>
      </c>
      <c r="N18" s="94">
        <v>73.587982177734403</v>
      </c>
      <c r="O18" s="94">
        <v>0</v>
      </c>
      <c r="P18" s="94" t="s">
        <v>70</v>
      </c>
    </row>
    <row r="19" spans="1:16" x14ac:dyDescent="0.35">
      <c r="A19" s="94">
        <v>55</v>
      </c>
      <c r="B19" s="94" t="s">
        <v>552</v>
      </c>
      <c r="C19" s="94">
        <v>124.15000152587901</v>
      </c>
      <c r="D19" s="94">
        <v>126.300003051758</v>
      </c>
      <c r="E19" s="94">
        <v>0</v>
      </c>
      <c r="F19" s="94">
        <v>92.255912780761705</v>
      </c>
      <c r="G19" s="94">
        <v>0</v>
      </c>
      <c r="H19" s="94" t="s">
        <v>70</v>
      </c>
      <c r="I19" s="94">
        <v>55</v>
      </c>
      <c r="J19" s="94" t="s">
        <v>553</v>
      </c>
      <c r="K19" s="94">
        <v>0</v>
      </c>
      <c r="L19" s="94">
        <v>1.9999999552965199E-2</v>
      </c>
      <c r="M19" s="94">
        <v>0</v>
      </c>
      <c r="N19" s="94">
        <v>68.294082641601605</v>
      </c>
      <c r="O19" s="94">
        <v>0</v>
      </c>
      <c r="P19" s="94" t="s">
        <v>70</v>
      </c>
    </row>
    <row r="20" spans="1:16" x14ac:dyDescent="0.35">
      <c r="A20" s="94">
        <v>60</v>
      </c>
      <c r="B20" s="94" t="s">
        <v>554</v>
      </c>
      <c r="C20" s="94">
        <v>119.15000152587901</v>
      </c>
      <c r="D20" s="94">
        <v>121.349990844727</v>
      </c>
      <c r="E20" s="94">
        <v>0</v>
      </c>
      <c r="F20" s="94">
        <v>86.044342041015597</v>
      </c>
      <c r="G20" s="94">
        <v>0</v>
      </c>
      <c r="H20" s="94" t="s">
        <v>70</v>
      </c>
      <c r="I20" s="94">
        <v>60</v>
      </c>
      <c r="J20" s="94" t="s">
        <v>555</v>
      </c>
      <c r="K20" s="94">
        <v>0</v>
      </c>
      <c r="L20" s="94">
        <v>1.9999999552965199E-2</v>
      </c>
      <c r="M20" s="94">
        <v>0</v>
      </c>
      <c r="N20" s="94">
        <v>63.471675872802699</v>
      </c>
      <c r="O20" s="94">
        <v>0</v>
      </c>
      <c r="P20" s="94" t="s">
        <v>70</v>
      </c>
    </row>
    <row r="21" spans="1:16" x14ac:dyDescent="0.35">
      <c r="A21" s="94">
        <v>65</v>
      </c>
      <c r="B21" s="94" t="s">
        <v>556</v>
      </c>
      <c r="C21" s="94">
        <v>114.199996948242</v>
      </c>
      <c r="D21" s="94">
        <v>116.349990844727</v>
      </c>
      <c r="E21" s="94">
        <v>0</v>
      </c>
      <c r="F21" s="94">
        <v>80.337905883789105</v>
      </c>
      <c r="G21" s="94">
        <v>0</v>
      </c>
      <c r="H21" s="94" t="s">
        <v>70</v>
      </c>
      <c r="I21" s="94">
        <v>65</v>
      </c>
      <c r="J21" s="94" t="s">
        <v>557</v>
      </c>
      <c r="K21" s="94">
        <v>0</v>
      </c>
      <c r="L21" s="94">
        <v>3.0000001192092899E-2</v>
      </c>
      <c r="M21" s="94">
        <v>0</v>
      </c>
      <c r="N21" s="94">
        <v>61.344394683837898</v>
      </c>
      <c r="O21" s="94">
        <v>0</v>
      </c>
      <c r="P21" s="94" t="s">
        <v>70</v>
      </c>
    </row>
    <row r="22" spans="1:16" x14ac:dyDescent="0.35">
      <c r="A22" s="94">
        <v>70</v>
      </c>
      <c r="B22" s="94" t="s">
        <v>558</v>
      </c>
      <c r="C22" s="94">
        <v>109.199996948242</v>
      </c>
      <c r="D22" s="94">
        <v>111.39999389648401</v>
      </c>
      <c r="E22" s="94">
        <v>0</v>
      </c>
      <c r="F22" s="94">
        <v>75.044822692871094</v>
      </c>
      <c r="G22" s="94">
        <v>0</v>
      </c>
      <c r="H22" s="94" t="s">
        <v>70</v>
      </c>
      <c r="I22" s="94">
        <v>70</v>
      </c>
      <c r="J22" s="94" t="s">
        <v>559</v>
      </c>
      <c r="K22" s="94">
        <v>0</v>
      </c>
      <c r="L22" s="94">
        <v>3.9999999105930301E-2</v>
      </c>
      <c r="M22" s="94">
        <v>0</v>
      </c>
      <c r="N22" s="94">
        <v>58.758865356445298</v>
      </c>
      <c r="O22" s="94">
        <v>0</v>
      </c>
      <c r="P22" s="94" t="s">
        <v>70</v>
      </c>
    </row>
    <row r="23" spans="1:16" x14ac:dyDescent="0.35">
      <c r="A23" s="94">
        <v>75</v>
      </c>
      <c r="B23" s="94" t="s">
        <v>560</v>
      </c>
      <c r="C23" s="94">
        <v>104.25</v>
      </c>
      <c r="D23" s="94">
        <v>106.39999389648401</v>
      </c>
      <c r="E23" s="94">
        <v>0</v>
      </c>
      <c r="F23" s="94">
        <v>70.113700866699205</v>
      </c>
      <c r="G23" s="94">
        <v>0</v>
      </c>
      <c r="H23" s="94" t="s">
        <v>70</v>
      </c>
      <c r="I23" s="94">
        <v>75</v>
      </c>
      <c r="J23" s="94" t="s">
        <v>561</v>
      </c>
      <c r="K23" s="94">
        <v>0</v>
      </c>
      <c r="L23" s="94">
        <v>5.0000000745058101E-2</v>
      </c>
      <c r="M23" s="94">
        <v>0</v>
      </c>
      <c r="N23" s="94">
        <v>55.985687255859403</v>
      </c>
      <c r="O23" s="94">
        <v>0</v>
      </c>
      <c r="P23" s="94" t="s">
        <v>70</v>
      </c>
    </row>
    <row r="24" spans="1:16" x14ac:dyDescent="0.35">
      <c r="A24" s="94">
        <v>80</v>
      </c>
      <c r="B24" s="94" t="s">
        <v>562</v>
      </c>
      <c r="C24" s="94">
        <v>99.25</v>
      </c>
      <c r="D24" s="94">
        <v>101.449996948242</v>
      </c>
      <c r="E24" s="94">
        <v>0</v>
      </c>
      <c r="F24" s="94">
        <v>65.484199523925795</v>
      </c>
      <c r="G24" s="94">
        <v>0</v>
      </c>
      <c r="H24" s="94" t="s">
        <v>70</v>
      </c>
      <c r="I24" s="94">
        <v>80</v>
      </c>
      <c r="J24" s="94" t="s">
        <v>563</v>
      </c>
      <c r="K24" s="94">
        <v>0</v>
      </c>
      <c r="L24" s="94">
        <v>6.9999992847442599E-2</v>
      </c>
      <c r="M24" s="94">
        <v>0</v>
      </c>
      <c r="N24" s="94">
        <v>54.076984405517599</v>
      </c>
      <c r="O24" s="94">
        <v>0</v>
      </c>
      <c r="P24" s="94" t="s">
        <v>70</v>
      </c>
    </row>
    <row r="25" spans="1:16" x14ac:dyDescent="0.35">
      <c r="A25" s="94">
        <v>85</v>
      </c>
      <c r="B25" s="94" t="s">
        <v>564</v>
      </c>
      <c r="C25" s="94">
        <v>94.25</v>
      </c>
      <c r="D25" s="94">
        <v>96.449996948242202</v>
      </c>
      <c r="E25" s="94">
        <v>0</v>
      </c>
      <c r="F25" s="94">
        <v>60.207908630371101</v>
      </c>
      <c r="G25" s="94">
        <v>0</v>
      </c>
      <c r="H25" s="94" t="s">
        <v>70</v>
      </c>
      <c r="I25" s="94">
        <v>85</v>
      </c>
      <c r="J25" s="94" t="s">
        <v>565</v>
      </c>
      <c r="K25" s="94">
        <v>1.00000016391277E-2</v>
      </c>
      <c r="L25" s="94">
        <v>0.10000002384185799</v>
      </c>
      <c r="M25" s="94">
        <v>0</v>
      </c>
      <c r="N25" s="94">
        <v>48.9736938476563</v>
      </c>
      <c r="O25" s="94">
        <v>0</v>
      </c>
      <c r="P25" s="94" t="s">
        <v>70</v>
      </c>
    </row>
    <row r="26" spans="1:16" x14ac:dyDescent="0.35">
      <c r="A26" s="94">
        <v>90</v>
      </c>
      <c r="B26" s="94" t="s">
        <v>566</v>
      </c>
      <c r="C26" s="94">
        <v>89.300003051757798</v>
      </c>
      <c r="D26" s="94">
        <v>91.5</v>
      </c>
      <c r="E26" s="94">
        <v>0</v>
      </c>
      <c r="F26" s="94">
        <v>56.987274169921903</v>
      </c>
      <c r="G26" s="94">
        <v>0</v>
      </c>
      <c r="H26" s="94" t="s">
        <v>70</v>
      </c>
      <c r="I26" s="94">
        <v>90</v>
      </c>
      <c r="J26" s="94" t="s">
        <v>567</v>
      </c>
      <c r="K26" s="94">
        <v>0</v>
      </c>
      <c r="L26" s="94">
        <v>0.10000002384185799</v>
      </c>
      <c r="M26" s="94">
        <v>0</v>
      </c>
      <c r="N26" s="94">
        <v>48.776409149169901</v>
      </c>
      <c r="O26" s="94">
        <v>0</v>
      </c>
      <c r="P26" s="94" t="s">
        <v>70</v>
      </c>
    </row>
    <row r="27" spans="1:16" x14ac:dyDescent="0.35">
      <c r="A27" s="94">
        <v>95</v>
      </c>
      <c r="B27" s="94" t="s">
        <v>568</v>
      </c>
      <c r="C27" s="94">
        <v>84.449996948242202</v>
      </c>
      <c r="D27" s="94">
        <v>86.449996948242202</v>
      </c>
      <c r="E27" s="94">
        <v>0</v>
      </c>
      <c r="F27" s="94">
        <v>53.780979156494098</v>
      </c>
      <c r="G27" s="94">
        <v>0</v>
      </c>
      <c r="H27" s="94" t="s">
        <v>70</v>
      </c>
      <c r="I27" s="94">
        <v>95</v>
      </c>
      <c r="J27" s="94" t="s">
        <v>569</v>
      </c>
      <c r="K27" s="94">
        <v>9.9999979138374294E-3</v>
      </c>
      <c r="L27" s="94">
        <v>0.119999945163727</v>
      </c>
      <c r="M27" s="94">
        <v>0</v>
      </c>
      <c r="N27" s="94">
        <v>43.024215698242202</v>
      </c>
      <c r="O27" s="94">
        <v>0</v>
      </c>
      <c r="P27" s="94" t="s">
        <v>70</v>
      </c>
    </row>
    <row r="28" spans="1:16" x14ac:dyDescent="0.35">
      <c r="A28" s="94">
        <v>100</v>
      </c>
      <c r="B28" s="94" t="s">
        <v>570</v>
      </c>
      <c r="C28" s="94">
        <v>79.449996948242202</v>
      </c>
      <c r="D28" s="94">
        <v>81.5</v>
      </c>
      <c r="E28" s="94">
        <v>0</v>
      </c>
      <c r="F28" s="94">
        <v>49.971462249755902</v>
      </c>
      <c r="G28" s="94">
        <v>0</v>
      </c>
      <c r="H28" s="94" t="s">
        <v>70</v>
      </c>
      <c r="I28" s="94">
        <v>100</v>
      </c>
      <c r="J28" s="94" t="s">
        <v>571</v>
      </c>
      <c r="K28" s="94">
        <v>2.9999997466802601E-2</v>
      </c>
      <c r="L28" s="94">
        <v>0.129999995231628</v>
      </c>
      <c r="M28" s="94">
        <v>0</v>
      </c>
      <c r="N28" s="94">
        <v>40.8324165344238</v>
      </c>
      <c r="O28" s="94">
        <v>0</v>
      </c>
      <c r="P28" s="94" t="s">
        <v>70</v>
      </c>
    </row>
    <row r="29" spans="1:16" x14ac:dyDescent="0.35">
      <c r="A29" s="94">
        <v>105</v>
      </c>
      <c r="B29" s="94" t="s">
        <v>572</v>
      </c>
      <c r="C29" s="94">
        <v>74.550003051757798</v>
      </c>
      <c r="D29" s="94">
        <v>76.550003051757798</v>
      </c>
      <c r="E29" s="94">
        <v>0</v>
      </c>
      <c r="F29" s="94">
        <v>47.462589263916001</v>
      </c>
      <c r="G29" s="94">
        <v>0</v>
      </c>
      <c r="H29" s="94" t="s">
        <v>70</v>
      </c>
      <c r="I29" s="94">
        <v>105</v>
      </c>
      <c r="J29" s="94" t="s">
        <v>573</v>
      </c>
      <c r="K29" s="94">
        <v>5.9999998658895499E-2</v>
      </c>
      <c r="L29" s="94">
        <v>0.16000002622604401</v>
      </c>
      <c r="M29" s="94">
        <v>0</v>
      </c>
      <c r="N29" s="94">
        <v>39.263916015625</v>
      </c>
      <c r="O29" s="94">
        <v>0</v>
      </c>
      <c r="P29" s="94" t="s">
        <v>70</v>
      </c>
    </row>
    <row r="30" spans="1:16" x14ac:dyDescent="0.35">
      <c r="A30" s="94">
        <v>110</v>
      </c>
      <c r="B30" s="94" t="s">
        <v>574</v>
      </c>
      <c r="C30" s="94">
        <v>69.599998474121094</v>
      </c>
      <c r="D30" s="94">
        <v>71.550003051757798</v>
      </c>
      <c r="E30" s="94">
        <v>0</v>
      </c>
      <c r="F30" s="94">
        <v>43.869716644287102</v>
      </c>
      <c r="G30" s="94">
        <v>0</v>
      </c>
      <c r="H30" s="94" t="s">
        <v>70</v>
      </c>
      <c r="I30" s="94">
        <v>110</v>
      </c>
      <c r="J30" s="94" t="s">
        <v>575</v>
      </c>
      <c r="K30" s="94">
        <v>9.0000033378601102E-2</v>
      </c>
      <c r="L30" s="94">
        <v>0.18000000715255701</v>
      </c>
      <c r="M30" s="94">
        <v>0</v>
      </c>
      <c r="N30" s="94">
        <v>37.196487426757798</v>
      </c>
      <c r="O30" s="94">
        <v>0</v>
      </c>
      <c r="P30" s="94" t="s">
        <v>70</v>
      </c>
    </row>
    <row r="31" spans="1:16" x14ac:dyDescent="0.35">
      <c r="A31" s="94">
        <v>115</v>
      </c>
      <c r="B31" s="94" t="s">
        <v>576</v>
      </c>
      <c r="C31" s="94">
        <v>64.5</v>
      </c>
      <c r="D31" s="94">
        <v>66.650009155273395</v>
      </c>
      <c r="E31" s="94">
        <v>0</v>
      </c>
      <c r="F31" s="94">
        <v>39.941715240478501</v>
      </c>
      <c r="G31" s="94">
        <v>0</v>
      </c>
      <c r="H31" s="94" t="s">
        <v>70</v>
      </c>
      <c r="I31" s="94">
        <v>115</v>
      </c>
      <c r="J31" s="94" t="s">
        <v>577</v>
      </c>
      <c r="K31" s="94">
        <v>0.129999995231628</v>
      </c>
      <c r="L31" s="94">
        <v>0.22000002861022899</v>
      </c>
      <c r="M31" s="94">
        <v>0</v>
      </c>
      <c r="N31" s="94">
        <v>35.457183837890597</v>
      </c>
      <c r="O31" s="94">
        <v>0</v>
      </c>
      <c r="P31" s="94" t="s">
        <v>70</v>
      </c>
    </row>
    <row r="32" spans="1:16" x14ac:dyDescent="0.35">
      <c r="A32" s="94">
        <v>120</v>
      </c>
      <c r="B32" s="94" t="s">
        <v>578</v>
      </c>
      <c r="C32" s="94">
        <v>60.300003051757798</v>
      </c>
      <c r="D32" s="94">
        <v>60.850006103515597</v>
      </c>
      <c r="E32" s="94">
        <v>62.800003051757798</v>
      </c>
      <c r="F32" s="94">
        <v>36.183738708496101</v>
      </c>
      <c r="G32" s="94">
        <v>12</v>
      </c>
      <c r="H32" s="94" t="s">
        <v>70</v>
      </c>
      <c r="I32" s="94">
        <v>120</v>
      </c>
      <c r="J32" s="94" t="s">
        <v>579</v>
      </c>
      <c r="K32" s="94">
        <v>0.18999999761581399</v>
      </c>
      <c r="L32" s="94">
        <v>0.28000003099441501</v>
      </c>
      <c r="M32" s="94">
        <v>0.19999998807907099</v>
      </c>
      <c r="N32" s="94">
        <v>33.948616027832003</v>
      </c>
      <c r="O32" s="94">
        <v>4</v>
      </c>
      <c r="P32" s="94" t="s">
        <v>70</v>
      </c>
    </row>
    <row r="33" spans="1:16" x14ac:dyDescent="0.35">
      <c r="A33" s="94">
        <v>125</v>
      </c>
      <c r="B33" s="94" t="s">
        <v>580</v>
      </c>
      <c r="C33" s="94">
        <v>54.799999237060497</v>
      </c>
      <c r="D33" s="94">
        <v>56.75</v>
      </c>
      <c r="E33" s="94">
        <v>0</v>
      </c>
      <c r="F33" s="94">
        <v>35.6250610351563</v>
      </c>
      <c r="G33" s="94">
        <v>0</v>
      </c>
      <c r="H33" s="94" t="s">
        <v>70</v>
      </c>
      <c r="I33" s="94">
        <v>125</v>
      </c>
      <c r="J33" s="94" t="s">
        <v>581</v>
      </c>
      <c r="K33" s="94">
        <v>0.259999990463257</v>
      </c>
      <c r="L33" s="94">
        <v>0.36000001430511502</v>
      </c>
      <c r="M33" s="94">
        <v>0.28000003099441501</v>
      </c>
      <c r="N33" s="94">
        <v>32.393280029296903</v>
      </c>
      <c r="O33" s="94">
        <v>1</v>
      </c>
      <c r="P33" s="94" t="s">
        <v>70</v>
      </c>
    </row>
    <row r="34" spans="1:16" x14ac:dyDescent="0.35">
      <c r="A34" s="94">
        <v>130</v>
      </c>
      <c r="B34" s="94" t="s">
        <v>582</v>
      </c>
      <c r="C34" s="94">
        <v>50.5</v>
      </c>
      <c r="D34" s="94">
        <v>51.0499877929688</v>
      </c>
      <c r="E34" s="94">
        <v>50.900009155273402</v>
      </c>
      <c r="F34" s="94">
        <v>32.0329780578613</v>
      </c>
      <c r="G34" s="94">
        <v>1</v>
      </c>
      <c r="H34" s="94" t="s">
        <v>70</v>
      </c>
      <c r="I34" s="94">
        <v>130</v>
      </c>
      <c r="J34" s="94" t="s">
        <v>583</v>
      </c>
      <c r="K34" s="94">
        <v>0.37999999523162797</v>
      </c>
      <c r="L34" s="94">
        <v>0.490000009536743</v>
      </c>
      <c r="M34" s="94">
        <v>0.40000003576278698</v>
      </c>
      <c r="N34" s="94">
        <v>31.226060867309599</v>
      </c>
      <c r="O34" s="94">
        <v>43</v>
      </c>
      <c r="P34" s="94" t="s">
        <v>70</v>
      </c>
    </row>
    <row r="35" spans="1:16" x14ac:dyDescent="0.35">
      <c r="A35" s="94">
        <v>135</v>
      </c>
      <c r="B35" s="94" t="s">
        <v>584</v>
      </c>
      <c r="C35" s="94">
        <v>44.75</v>
      </c>
      <c r="D35" s="94">
        <v>46.949996948242202</v>
      </c>
      <c r="E35" s="94">
        <v>0</v>
      </c>
      <c r="F35" s="94">
        <v>29.453477859497099</v>
      </c>
      <c r="G35" s="94">
        <v>0</v>
      </c>
      <c r="H35" s="94" t="s">
        <v>70</v>
      </c>
      <c r="I35" s="94">
        <v>135</v>
      </c>
      <c r="J35" s="94" t="s">
        <v>585</v>
      </c>
      <c r="K35" s="94">
        <v>0.52999997138977095</v>
      </c>
      <c r="L35" s="94">
        <v>0.62999999523162797</v>
      </c>
      <c r="M35" s="94">
        <v>0</v>
      </c>
      <c r="N35" s="94">
        <v>29.816534042358398</v>
      </c>
      <c r="O35" s="94">
        <v>0</v>
      </c>
      <c r="P35" s="94" t="s">
        <v>70</v>
      </c>
    </row>
    <row r="36" spans="1:16" x14ac:dyDescent="0.35">
      <c r="A36" s="94">
        <v>140</v>
      </c>
      <c r="B36" s="94" t="s">
        <v>586</v>
      </c>
      <c r="C36" s="94">
        <v>40.949996948242202</v>
      </c>
      <c r="D36" s="94">
        <v>41.449996948242202</v>
      </c>
      <c r="E36" s="94">
        <v>43.8699951171875</v>
      </c>
      <c r="F36" s="94">
        <v>29.122083663940401</v>
      </c>
      <c r="G36" s="94">
        <v>5</v>
      </c>
      <c r="H36" s="94" t="s">
        <v>70</v>
      </c>
      <c r="I36" s="94">
        <v>140</v>
      </c>
      <c r="J36" s="94" t="s">
        <v>587</v>
      </c>
      <c r="K36" s="94">
        <v>0.77999997138977095</v>
      </c>
      <c r="L36" s="94">
        <v>0.85000002384185802</v>
      </c>
      <c r="M36" s="94">
        <v>0</v>
      </c>
      <c r="N36" s="94">
        <v>28.7813911437988</v>
      </c>
      <c r="O36" s="94">
        <v>0</v>
      </c>
      <c r="P36" s="94" t="s">
        <v>70</v>
      </c>
    </row>
    <row r="37" spans="1:16" x14ac:dyDescent="0.35">
      <c r="A37" s="94">
        <v>145</v>
      </c>
      <c r="B37" s="94" t="s">
        <v>588</v>
      </c>
      <c r="C37" s="94">
        <v>35.699996948242202</v>
      </c>
      <c r="D37" s="94">
        <v>37.449996948242202</v>
      </c>
      <c r="E37" s="94">
        <v>0</v>
      </c>
      <c r="F37" s="94">
        <v>28.1447868347168</v>
      </c>
      <c r="G37" s="94">
        <v>0</v>
      </c>
      <c r="H37" s="94" t="s">
        <v>70</v>
      </c>
      <c r="I37" s="94">
        <v>145</v>
      </c>
      <c r="J37" s="94" t="s">
        <v>589</v>
      </c>
      <c r="K37" s="94">
        <v>1.1000003814697299</v>
      </c>
      <c r="L37" s="94">
        <v>1.15999984741211</v>
      </c>
      <c r="M37" s="94">
        <v>1.11999988555908</v>
      </c>
      <c r="N37" s="94">
        <v>27.735977172851602</v>
      </c>
      <c r="O37" s="94">
        <v>19</v>
      </c>
      <c r="P37" s="94" t="s">
        <v>70</v>
      </c>
    </row>
    <row r="38" spans="1:16" x14ac:dyDescent="0.35">
      <c r="A38" s="94">
        <v>150</v>
      </c>
      <c r="B38" s="94" t="s">
        <v>590</v>
      </c>
      <c r="C38" s="94">
        <v>31.8999938964844</v>
      </c>
      <c r="D38" s="94">
        <v>32.150009155273402</v>
      </c>
      <c r="E38" s="94">
        <v>33.300003051757798</v>
      </c>
      <c r="F38" s="94">
        <v>26.986127853393601</v>
      </c>
      <c r="G38" s="94">
        <v>13</v>
      </c>
      <c r="H38" s="94" t="s">
        <v>70</v>
      </c>
      <c r="I38" s="94">
        <v>150</v>
      </c>
      <c r="J38" s="94" t="s">
        <v>591</v>
      </c>
      <c r="K38" s="94">
        <v>1.53999996185303</v>
      </c>
      <c r="L38" s="94">
        <v>1.6000003814697299</v>
      </c>
      <c r="M38" s="94">
        <v>1.55000019073486</v>
      </c>
      <c r="N38" s="94">
        <v>26.792739868164102</v>
      </c>
      <c r="O38" s="94">
        <v>50</v>
      </c>
      <c r="P38" s="94" t="s">
        <v>70</v>
      </c>
    </row>
    <row r="39" spans="1:16" x14ac:dyDescent="0.35">
      <c r="A39" s="94">
        <v>155</v>
      </c>
      <c r="B39" s="94" t="s">
        <v>592</v>
      </c>
      <c r="C39" s="94">
        <v>27.199996948242202</v>
      </c>
      <c r="D39" s="94">
        <v>27.7999877929688</v>
      </c>
      <c r="E39" s="94">
        <v>29</v>
      </c>
      <c r="F39" s="94">
        <v>25.403192520141602</v>
      </c>
      <c r="G39" s="94">
        <v>140</v>
      </c>
      <c r="H39" s="94" t="s">
        <v>70</v>
      </c>
      <c r="I39" s="94">
        <v>155</v>
      </c>
      <c r="J39" s="94" t="s">
        <v>593</v>
      </c>
      <c r="K39" s="94">
        <v>2.1599998474121098</v>
      </c>
      <c r="L39" s="94">
        <v>2.2200002670288099</v>
      </c>
      <c r="M39" s="94">
        <v>2.0900001525878902</v>
      </c>
      <c r="N39" s="94">
        <v>25.998802185058601</v>
      </c>
      <c r="O39" s="94">
        <v>74</v>
      </c>
      <c r="P39" s="94" t="s">
        <v>70</v>
      </c>
    </row>
    <row r="40" spans="1:16" x14ac:dyDescent="0.35">
      <c r="A40" s="94">
        <v>160</v>
      </c>
      <c r="B40" s="94" t="s">
        <v>594</v>
      </c>
      <c r="C40" s="94">
        <v>23.449996948242202</v>
      </c>
      <c r="D40" s="94">
        <v>23.6499938964844</v>
      </c>
      <c r="E40" s="94">
        <v>24.8999938964844</v>
      </c>
      <c r="F40" s="94">
        <v>25.4129524230957</v>
      </c>
      <c r="G40" s="94">
        <v>150</v>
      </c>
      <c r="H40" s="94" t="s">
        <v>70</v>
      </c>
      <c r="I40" s="94">
        <v>160</v>
      </c>
      <c r="J40" s="94" t="s">
        <v>595</v>
      </c>
      <c r="K40" s="94">
        <v>2.96999931335449</v>
      </c>
      <c r="L40" s="94">
        <v>3.0999994277954102</v>
      </c>
      <c r="M40" s="94">
        <v>3.1099996566772501</v>
      </c>
      <c r="N40" s="94">
        <v>25.3075141906738</v>
      </c>
      <c r="O40" s="94">
        <v>261</v>
      </c>
      <c r="P40" s="94" t="s">
        <v>70</v>
      </c>
    </row>
    <row r="41" spans="1:16" x14ac:dyDescent="0.35">
      <c r="A41" s="94">
        <v>165</v>
      </c>
      <c r="B41" s="94" t="s">
        <v>596</v>
      </c>
      <c r="C41" s="94">
        <v>19.550003051757798</v>
      </c>
      <c r="D41" s="94">
        <v>19.699996948242202</v>
      </c>
      <c r="E41" s="94">
        <v>19.800003051757798</v>
      </c>
      <c r="F41" s="94">
        <v>24.565414428710898</v>
      </c>
      <c r="G41" s="94">
        <v>175</v>
      </c>
      <c r="H41" s="94" t="s">
        <v>70</v>
      </c>
      <c r="I41" s="94">
        <v>165</v>
      </c>
      <c r="J41" s="94" t="s">
        <v>597</v>
      </c>
      <c r="K41" s="94">
        <v>4.0500001907348597</v>
      </c>
      <c r="L41" s="94">
        <v>4.1500005722045898</v>
      </c>
      <c r="M41" s="94">
        <v>4.0500001907348597</v>
      </c>
      <c r="N41" s="94">
        <v>24.530702590942401</v>
      </c>
      <c r="O41" s="94">
        <v>282</v>
      </c>
      <c r="P41" s="94" t="s">
        <v>70</v>
      </c>
    </row>
    <row r="42" spans="1:16" x14ac:dyDescent="0.35">
      <c r="A42" s="94">
        <v>170</v>
      </c>
      <c r="B42" s="94" t="s">
        <v>598</v>
      </c>
      <c r="C42" s="94">
        <v>16</v>
      </c>
      <c r="D42" s="94">
        <v>16.1499938964844</v>
      </c>
      <c r="E42" s="94">
        <v>16.25</v>
      </c>
      <c r="F42" s="94">
        <v>23.9828796386719</v>
      </c>
      <c r="G42" s="94">
        <v>304</v>
      </c>
      <c r="H42" s="94" t="s">
        <v>70</v>
      </c>
      <c r="I42" s="94">
        <v>170</v>
      </c>
      <c r="J42" s="94" t="s">
        <v>599</v>
      </c>
      <c r="K42" s="94">
        <v>5.4499998092651403</v>
      </c>
      <c r="L42" s="94">
        <v>5.5500001907348597</v>
      </c>
      <c r="M42" s="94">
        <v>5.4499998092651403</v>
      </c>
      <c r="N42" s="94">
        <v>23.8811359405518</v>
      </c>
      <c r="O42" s="94">
        <v>224</v>
      </c>
      <c r="P42" s="94" t="s">
        <v>70</v>
      </c>
    </row>
    <row r="43" spans="1:16" x14ac:dyDescent="0.35">
      <c r="A43" s="94">
        <v>175</v>
      </c>
      <c r="B43" s="94" t="s">
        <v>600</v>
      </c>
      <c r="C43" s="94">
        <v>12.75</v>
      </c>
      <c r="D43" s="94">
        <v>12.8999996185303</v>
      </c>
      <c r="E43" s="94">
        <v>12.7200002670288</v>
      </c>
      <c r="F43" s="94">
        <v>23.2964591979981</v>
      </c>
      <c r="G43" s="94">
        <v>472</v>
      </c>
      <c r="H43" s="94" t="s">
        <v>70</v>
      </c>
      <c r="I43" s="94">
        <v>175</v>
      </c>
      <c r="J43" s="94" t="s">
        <v>601</v>
      </c>
      <c r="K43" s="94">
        <v>7.1999998092651403</v>
      </c>
      <c r="L43" s="94">
        <v>7.3000001907348597</v>
      </c>
      <c r="M43" s="94">
        <v>7.4300003051757804</v>
      </c>
      <c r="N43" s="94">
        <v>23.301427841186499</v>
      </c>
      <c r="O43" s="94">
        <v>224</v>
      </c>
      <c r="P43" s="94" t="s">
        <v>70</v>
      </c>
    </row>
    <row r="44" spans="1:16" x14ac:dyDescent="0.35">
      <c r="A44" s="94">
        <v>180</v>
      </c>
      <c r="B44" s="94" t="s">
        <v>602</v>
      </c>
      <c r="C44" s="94">
        <v>9.9499998092651403</v>
      </c>
      <c r="D44" s="94">
        <v>10.1000003814697</v>
      </c>
      <c r="E44" s="94">
        <v>10.1000003814697</v>
      </c>
      <c r="F44" s="94">
        <v>22.809617996215799</v>
      </c>
      <c r="G44" s="94">
        <v>593</v>
      </c>
      <c r="H44" s="94" t="s">
        <v>70</v>
      </c>
      <c r="I44" s="94">
        <v>180</v>
      </c>
      <c r="J44" s="94" t="s">
        <v>603</v>
      </c>
      <c r="K44" s="94">
        <v>9.3999996185302699</v>
      </c>
      <c r="L44" s="94">
        <v>9.5</v>
      </c>
      <c r="M44" s="94">
        <v>8.8000001907348597</v>
      </c>
      <c r="N44" s="94">
        <v>22.932977676391602</v>
      </c>
      <c r="O44" s="94">
        <v>356</v>
      </c>
      <c r="P44" s="94" t="s">
        <v>70</v>
      </c>
    </row>
    <row r="45" spans="1:16" x14ac:dyDescent="0.35">
      <c r="A45" s="94">
        <v>185</v>
      </c>
      <c r="B45" s="94" t="s">
        <v>604</v>
      </c>
      <c r="C45" s="94">
        <v>7.5</v>
      </c>
      <c r="D45" s="94">
        <v>7.6999998092651403</v>
      </c>
      <c r="E45" s="94">
        <v>7.6000003814697301</v>
      </c>
      <c r="F45" s="94">
        <v>22.2836818695068</v>
      </c>
      <c r="G45" s="94">
        <v>658</v>
      </c>
      <c r="H45" s="94" t="s">
        <v>70</v>
      </c>
      <c r="I45" s="94">
        <v>185</v>
      </c>
      <c r="J45" s="94" t="s">
        <v>605</v>
      </c>
      <c r="K45" s="94">
        <v>12</v>
      </c>
      <c r="L45" s="94">
        <v>12.1000003814697</v>
      </c>
      <c r="M45" s="94">
        <v>11.3500003814697</v>
      </c>
      <c r="N45" s="94">
        <v>22.4652614593506</v>
      </c>
      <c r="O45" s="94">
        <v>94</v>
      </c>
      <c r="P45" s="94" t="s">
        <v>70</v>
      </c>
    </row>
    <row r="46" spans="1:16" x14ac:dyDescent="0.35">
      <c r="A46" s="94">
        <v>190</v>
      </c>
      <c r="B46" s="94" t="s">
        <v>606</v>
      </c>
      <c r="C46" s="94">
        <v>5.6000003814697301</v>
      </c>
      <c r="D46" s="94">
        <v>5.6999998092651403</v>
      </c>
      <c r="E46" s="94">
        <v>5.6500005722045898</v>
      </c>
      <c r="F46" s="94">
        <v>21.960350036621101</v>
      </c>
      <c r="G46" s="94">
        <v>520</v>
      </c>
      <c r="H46" s="94" t="s">
        <v>70</v>
      </c>
      <c r="I46" s="94">
        <v>190</v>
      </c>
      <c r="J46" s="94" t="s">
        <v>607</v>
      </c>
      <c r="K46" s="94">
        <v>15.050000190734901</v>
      </c>
      <c r="L46" s="94">
        <v>15.1499996185303</v>
      </c>
      <c r="M46" s="94">
        <v>15.3999996185303</v>
      </c>
      <c r="N46" s="94">
        <v>21.900505065918001</v>
      </c>
      <c r="O46" s="94">
        <v>122</v>
      </c>
      <c r="P46" s="94" t="s">
        <v>70</v>
      </c>
    </row>
    <row r="47" spans="1:16" x14ac:dyDescent="0.35">
      <c r="A47" s="94">
        <v>195</v>
      </c>
      <c r="B47" s="94" t="s">
        <v>608</v>
      </c>
      <c r="C47" s="94">
        <v>4.0500001907348597</v>
      </c>
      <c r="D47" s="94">
        <v>4.1499996185302699</v>
      </c>
      <c r="E47" s="94">
        <v>4.1000003814697301</v>
      </c>
      <c r="F47" s="94">
        <v>21.6758728027344</v>
      </c>
      <c r="G47" s="94">
        <v>158</v>
      </c>
      <c r="H47" s="94" t="s">
        <v>70</v>
      </c>
      <c r="I47" s="94">
        <v>195</v>
      </c>
      <c r="J47" s="94" t="s">
        <v>609</v>
      </c>
      <c r="K47" s="94">
        <v>18.5</v>
      </c>
      <c r="L47" s="94">
        <v>18.6499938964844</v>
      </c>
      <c r="M47" s="94">
        <v>17.0400085449219</v>
      </c>
      <c r="N47" s="94">
        <v>21.489177703857401</v>
      </c>
      <c r="O47" s="94">
        <v>1</v>
      </c>
      <c r="P47" s="94" t="s">
        <v>70</v>
      </c>
    </row>
    <row r="48" spans="1:16" x14ac:dyDescent="0.35">
      <c r="A48" s="94">
        <v>200</v>
      </c>
      <c r="B48" s="94" t="s">
        <v>610</v>
      </c>
      <c r="C48" s="94">
        <v>2.8900003433227499</v>
      </c>
      <c r="D48" s="94">
        <v>2.9499998092651398</v>
      </c>
      <c r="E48" s="94">
        <v>2.92000007629394</v>
      </c>
      <c r="F48" s="94">
        <v>21.486652374267599</v>
      </c>
      <c r="G48" s="94">
        <v>527</v>
      </c>
      <c r="H48" s="94" t="s">
        <v>70</v>
      </c>
      <c r="I48" s="94">
        <v>200</v>
      </c>
      <c r="J48" s="94" t="s">
        <v>611</v>
      </c>
      <c r="K48" s="94">
        <v>22.3500061035156</v>
      </c>
      <c r="L48" s="94">
        <v>22.5499877929688</v>
      </c>
      <c r="M48" s="94">
        <v>20.75</v>
      </c>
      <c r="N48" s="94">
        <v>21.277339935302699</v>
      </c>
      <c r="O48" s="94">
        <v>14</v>
      </c>
      <c r="P48" s="94" t="s">
        <v>70</v>
      </c>
    </row>
    <row r="49" spans="1:16" x14ac:dyDescent="0.35">
      <c r="A49" s="94">
        <v>205</v>
      </c>
      <c r="B49" s="94" t="s">
        <v>612</v>
      </c>
      <c r="C49" s="94">
        <v>2.0200004577636701</v>
      </c>
      <c r="D49" s="94">
        <v>2.07999992370606</v>
      </c>
      <c r="E49" s="94">
        <v>2.2399997711181601</v>
      </c>
      <c r="F49" s="94">
        <v>21.3870334625244</v>
      </c>
      <c r="G49" s="94">
        <v>126</v>
      </c>
      <c r="H49" s="94" t="s">
        <v>70</v>
      </c>
      <c r="I49" s="94">
        <v>205</v>
      </c>
      <c r="J49" s="94" t="s">
        <v>613</v>
      </c>
      <c r="K49" s="94">
        <v>26.1000061035156</v>
      </c>
      <c r="L49" s="94">
        <v>27.300003051757798</v>
      </c>
      <c r="M49" s="94">
        <v>0</v>
      </c>
      <c r="N49" s="94">
        <v>21.454683303833001</v>
      </c>
      <c r="O49" s="94">
        <v>0</v>
      </c>
      <c r="P49" s="94" t="s">
        <v>70</v>
      </c>
    </row>
    <row r="50" spans="1:16" x14ac:dyDescent="0.35">
      <c r="A50" s="94">
        <v>210</v>
      </c>
      <c r="B50" s="94" t="s">
        <v>614</v>
      </c>
      <c r="C50" s="94">
        <v>1.3999996185302701</v>
      </c>
      <c r="D50" s="94">
        <v>1.46000003814697</v>
      </c>
      <c r="E50" s="94">
        <v>1.4300003051757799</v>
      </c>
      <c r="F50" s="94">
        <v>21.388555526733398</v>
      </c>
      <c r="G50" s="94">
        <v>514</v>
      </c>
      <c r="H50" s="94" t="s">
        <v>70</v>
      </c>
      <c r="I50" s="94">
        <v>210</v>
      </c>
      <c r="J50" s="94" t="s">
        <v>615</v>
      </c>
      <c r="K50" s="94">
        <v>30.300003051757798</v>
      </c>
      <c r="L50" s="94">
        <v>31.699996948242202</v>
      </c>
      <c r="M50" s="94">
        <v>0</v>
      </c>
      <c r="N50" s="94">
        <v>20.893775939941399</v>
      </c>
      <c r="O50" s="94">
        <v>0</v>
      </c>
      <c r="P50" s="94" t="s">
        <v>70</v>
      </c>
    </row>
    <row r="51" spans="1:16" x14ac:dyDescent="0.35">
      <c r="A51" s="94">
        <v>215</v>
      </c>
      <c r="B51" s="94" t="s">
        <v>616</v>
      </c>
      <c r="C51" s="94">
        <v>0.97000002861022905</v>
      </c>
      <c r="D51" s="94">
        <v>1.03999996185303</v>
      </c>
      <c r="E51" s="94">
        <v>1.09000015258789</v>
      </c>
      <c r="F51" s="94">
        <v>21.5226650238037</v>
      </c>
      <c r="G51" s="94">
        <v>12</v>
      </c>
      <c r="H51" s="94" t="s">
        <v>70</v>
      </c>
      <c r="I51" s="94">
        <v>215</v>
      </c>
      <c r="J51" s="94" t="s">
        <v>617</v>
      </c>
      <c r="K51" s="94">
        <v>34.900009155273402</v>
      </c>
      <c r="L51" s="94">
        <v>36.5</v>
      </c>
      <c r="M51" s="94">
        <v>0</v>
      </c>
      <c r="N51" s="94">
        <v>21.623613357543899</v>
      </c>
      <c r="O51" s="94">
        <v>0</v>
      </c>
      <c r="P51" s="94" t="s">
        <v>70</v>
      </c>
    </row>
    <row r="52" spans="1:16" x14ac:dyDescent="0.35">
      <c r="A52" s="94">
        <v>220</v>
      </c>
      <c r="B52" s="94" t="s">
        <v>618</v>
      </c>
      <c r="C52" s="94">
        <v>0.68000000715255704</v>
      </c>
      <c r="D52" s="94">
        <v>0.769999980926514</v>
      </c>
      <c r="E52" s="94">
        <v>0.75999999046325695</v>
      </c>
      <c r="F52" s="94">
        <v>21.8280849456787</v>
      </c>
      <c r="G52" s="94">
        <v>5</v>
      </c>
      <c r="H52" s="94" t="s">
        <v>70</v>
      </c>
      <c r="I52" s="94">
        <v>220</v>
      </c>
      <c r="J52" s="94" t="s">
        <v>619</v>
      </c>
      <c r="K52" s="94">
        <v>39.549999237060497</v>
      </c>
      <c r="L52" s="94">
        <v>41.25</v>
      </c>
      <c r="M52" s="94">
        <v>0</v>
      </c>
      <c r="N52" s="94">
        <v>21.495559692382798</v>
      </c>
      <c r="O52" s="94">
        <v>0</v>
      </c>
      <c r="P52" s="94" t="s">
        <v>70</v>
      </c>
    </row>
    <row r="53" spans="1:16" x14ac:dyDescent="0.35">
      <c r="A53" s="94">
        <v>225</v>
      </c>
      <c r="B53" s="94" t="s">
        <v>620</v>
      </c>
      <c r="C53" s="94">
        <v>0.47000002861022899</v>
      </c>
      <c r="D53" s="94">
        <v>0.58999997377395597</v>
      </c>
      <c r="E53" s="94">
        <v>0</v>
      </c>
      <c r="F53" s="94">
        <v>22.191146850585898</v>
      </c>
      <c r="G53" s="94">
        <v>0</v>
      </c>
      <c r="H53" s="94" t="s">
        <v>70</v>
      </c>
      <c r="I53" s="94">
        <v>225</v>
      </c>
      <c r="J53" s="94" t="s">
        <v>621</v>
      </c>
      <c r="K53" s="94">
        <v>43.199996948242202</v>
      </c>
      <c r="L53" s="94">
        <v>45.550003051757798</v>
      </c>
      <c r="M53" s="94">
        <v>0</v>
      </c>
      <c r="N53" s="94">
        <v>0</v>
      </c>
      <c r="O53" s="94">
        <v>0</v>
      </c>
      <c r="P53" s="94" t="s">
        <v>70</v>
      </c>
    </row>
    <row r="54" spans="1:16" x14ac:dyDescent="0.35">
      <c r="A54" s="94">
        <v>230</v>
      </c>
      <c r="B54" s="94" t="s">
        <v>622</v>
      </c>
      <c r="C54" s="94">
        <v>0.33000004291534402</v>
      </c>
      <c r="D54" s="94">
        <v>0.44999998807907099</v>
      </c>
      <c r="E54" s="94">
        <v>0</v>
      </c>
      <c r="F54" s="94">
        <v>22.564739227294901</v>
      </c>
      <c r="G54" s="94">
        <v>0</v>
      </c>
      <c r="H54" s="94" t="s">
        <v>70</v>
      </c>
      <c r="I54" s="94">
        <v>230</v>
      </c>
      <c r="J54" s="94" t="s">
        <v>623</v>
      </c>
      <c r="K54" s="94">
        <v>49.099998474121101</v>
      </c>
      <c r="L54" s="94">
        <v>51</v>
      </c>
      <c r="M54" s="94">
        <v>0</v>
      </c>
      <c r="N54" s="94">
        <v>0</v>
      </c>
      <c r="O54" s="94">
        <v>0</v>
      </c>
      <c r="P54" s="94" t="s">
        <v>70</v>
      </c>
    </row>
    <row r="55" spans="1:16" x14ac:dyDescent="0.35">
      <c r="A55" s="94">
        <v>235</v>
      </c>
      <c r="B55" s="94" t="s">
        <v>624</v>
      </c>
      <c r="C55" s="94">
        <v>0.240000009536743</v>
      </c>
      <c r="D55" s="94">
        <v>0.33000004291534402</v>
      </c>
      <c r="E55" s="94">
        <v>0</v>
      </c>
      <c r="F55" s="94">
        <v>22.8910942077637</v>
      </c>
      <c r="G55" s="94">
        <v>0</v>
      </c>
      <c r="H55" s="94" t="s">
        <v>70</v>
      </c>
      <c r="I55" s="94">
        <v>235</v>
      </c>
      <c r="J55" s="94" t="s">
        <v>625</v>
      </c>
      <c r="K55" s="94">
        <v>54.049999237060497</v>
      </c>
      <c r="L55" s="94">
        <v>55.899993896484403</v>
      </c>
      <c r="M55" s="94">
        <v>0</v>
      </c>
      <c r="N55" s="94">
        <v>0</v>
      </c>
      <c r="O55" s="94">
        <v>0</v>
      </c>
      <c r="P55" s="94" t="s">
        <v>70</v>
      </c>
    </row>
    <row r="56" spans="1:16" x14ac:dyDescent="0.35">
      <c r="A56" s="94">
        <v>240</v>
      </c>
      <c r="B56" s="94" t="s">
        <v>626</v>
      </c>
      <c r="C56" s="94">
        <v>0.18000000715255701</v>
      </c>
      <c r="D56" s="94">
        <v>0.29000002145767201</v>
      </c>
      <c r="E56" s="94">
        <v>0.19999998807907099</v>
      </c>
      <c r="F56" s="94">
        <v>23.636287689208999</v>
      </c>
      <c r="G56" s="94">
        <v>10</v>
      </c>
      <c r="H56" s="94" t="s">
        <v>70</v>
      </c>
      <c r="I56" s="94">
        <v>240</v>
      </c>
      <c r="J56" s="94" t="s">
        <v>627</v>
      </c>
      <c r="K56" s="94">
        <v>59.5</v>
      </c>
      <c r="L56" s="94">
        <v>61.050003051757798</v>
      </c>
      <c r="M56" s="94">
        <v>0</v>
      </c>
      <c r="N56" s="94">
        <v>27.637042999267599</v>
      </c>
      <c r="O56" s="94">
        <v>0</v>
      </c>
      <c r="P56" s="94" t="s">
        <v>70</v>
      </c>
    </row>
    <row r="57" spans="1:16" x14ac:dyDescent="0.35">
      <c r="A57" s="94">
        <v>245</v>
      </c>
      <c r="B57" s="94" t="s">
        <v>628</v>
      </c>
      <c r="C57" s="94">
        <v>0.150000035762787</v>
      </c>
      <c r="D57" s="94">
        <v>0.25</v>
      </c>
      <c r="E57" s="94">
        <v>0.16000002622604401</v>
      </c>
      <c r="F57" s="94">
        <v>24.439130783081101</v>
      </c>
      <c r="G57" s="94">
        <v>9</v>
      </c>
      <c r="H57" s="94" t="s">
        <v>70</v>
      </c>
      <c r="I57" s="94">
        <v>245</v>
      </c>
      <c r="J57" s="94" t="s">
        <v>629</v>
      </c>
      <c r="K57" s="94">
        <v>64.150001525878906</v>
      </c>
      <c r="L57" s="94">
        <v>66.050003051757798</v>
      </c>
      <c r="M57" s="94">
        <v>0</v>
      </c>
      <c r="N57" s="94">
        <v>0</v>
      </c>
      <c r="O57" s="94">
        <v>0</v>
      </c>
      <c r="P57" s="94" t="s">
        <v>70</v>
      </c>
    </row>
    <row r="58" spans="1:16" x14ac:dyDescent="0.35">
      <c r="A58" s="94">
        <v>250</v>
      </c>
      <c r="B58" s="94" t="s">
        <v>630</v>
      </c>
      <c r="C58" s="94">
        <v>0.120000004768372</v>
      </c>
      <c r="D58" s="94">
        <v>0.22000002861022899</v>
      </c>
      <c r="E58" s="94">
        <v>0</v>
      </c>
      <c r="F58" s="94">
        <v>25.184814453125</v>
      </c>
      <c r="G58" s="94">
        <v>0</v>
      </c>
      <c r="H58" s="94" t="s">
        <v>70</v>
      </c>
      <c r="I58" s="94">
        <v>250</v>
      </c>
      <c r="J58" s="94" t="s">
        <v>631</v>
      </c>
      <c r="K58" s="94">
        <v>69.050003051757798</v>
      </c>
      <c r="L58" s="94">
        <v>71</v>
      </c>
      <c r="M58" s="94">
        <v>0</v>
      </c>
      <c r="N58" s="94">
        <v>0</v>
      </c>
      <c r="O58" s="94">
        <v>0</v>
      </c>
      <c r="P58" s="94" t="s">
        <v>70</v>
      </c>
    </row>
    <row r="59" spans="1:16" x14ac:dyDescent="0.35">
      <c r="A59" s="94">
        <v>255</v>
      </c>
      <c r="B59" s="94" t="s">
        <v>632</v>
      </c>
      <c r="C59" s="94">
        <v>0.10000002384185799</v>
      </c>
      <c r="D59" s="94">
        <v>0.19999998807907099</v>
      </c>
      <c r="E59" s="94">
        <v>0.110000014305115</v>
      </c>
      <c r="F59" s="94">
        <v>26.0101413726807</v>
      </c>
      <c r="G59" s="94">
        <v>72</v>
      </c>
      <c r="H59" s="94" t="s">
        <v>70</v>
      </c>
      <c r="I59" s="94">
        <v>255</v>
      </c>
      <c r="J59" s="94" t="s">
        <v>633</v>
      </c>
      <c r="K59" s="94">
        <v>74.449996948242202</v>
      </c>
      <c r="L59" s="94">
        <v>76</v>
      </c>
      <c r="M59" s="94">
        <v>0</v>
      </c>
      <c r="N59" s="94">
        <v>31.898696899414102</v>
      </c>
      <c r="O59" s="94">
        <v>0</v>
      </c>
      <c r="P59" s="94" t="s">
        <v>70</v>
      </c>
    </row>
    <row r="60" spans="1:16" x14ac:dyDescent="0.35">
      <c r="A60" s="94">
        <v>260</v>
      </c>
      <c r="B60" s="94" t="s">
        <v>634</v>
      </c>
      <c r="C60" s="94">
        <v>7.9999983310699505E-2</v>
      </c>
      <c r="D60" s="94">
        <v>0.17000001668930101</v>
      </c>
      <c r="E60" s="94">
        <v>9.0000033378601102E-2</v>
      </c>
      <c r="F60" s="94">
        <v>26.5906867980957</v>
      </c>
      <c r="G60" s="94">
        <v>3</v>
      </c>
      <c r="H60" s="94" t="s">
        <v>70</v>
      </c>
      <c r="I60" s="94">
        <v>260</v>
      </c>
      <c r="J60" s="94" t="s">
        <v>635</v>
      </c>
      <c r="K60" s="94">
        <v>79.449996948242202</v>
      </c>
      <c r="L60" s="94">
        <v>81</v>
      </c>
      <c r="M60" s="94">
        <v>0</v>
      </c>
      <c r="N60" s="94">
        <v>33.456127166747997</v>
      </c>
      <c r="O60" s="94">
        <v>0</v>
      </c>
      <c r="P60" s="94" t="s">
        <v>70</v>
      </c>
    </row>
    <row r="61" spans="1:16" x14ac:dyDescent="0.35">
      <c r="A61" s="94">
        <v>265</v>
      </c>
      <c r="B61" s="94" t="s">
        <v>636</v>
      </c>
      <c r="C61" s="94">
        <v>6.9999992847442599E-2</v>
      </c>
      <c r="D61" s="94">
        <v>0.139999985694885</v>
      </c>
      <c r="E61" s="94">
        <v>0</v>
      </c>
      <c r="F61" s="94">
        <v>27.160709381103501</v>
      </c>
      <c r="G61" s="94">
        <v>0</v>
      </c>
      <c r="H61" s="94" t="s">
        <v>70</v>
      </c>
      <c r="I61" s="94">
        <v>265</v>
      </c>
      <c r="J61" s="94" t="s">
        <v>637</v>
      </c>
      <c r="K61" s="94">
        <v>84.400001525878906</v>
      </c>
      <c r="L61" s="94">
        <v>86</v>
      </c>
      <c r="M61" s="94">
        <v>0</v>
      </c>
      <c r="N61" s="94">
        <v>34.542995452880902</v>
      </c>
      <c r="O61" s="94">
        <v>0</v>
      </c>
      <c r="P61" s="94" t="s">
        <v>70</v>
      </c>
    </row>
    <row r="62" spans="1:16" x14ac:dyDescent="0.35">
      <c r="A62" s="94">
        <v>270</v>
      </c>
      <c r="B62" s="94" t="s">
        <v>638</v>
      </c>
      <c r="C62" s="94">
        <v>5.0000000745058101E-2</v>
      </c>
      <c r="D62" s="94">
        <v>0.150000035762787</v>
      </c>
      <c r="E62" s="94">
        <v>0</v>
      </c>
      <c r="F62" s="94">
        <v>28.116147994995099</v>
      </c>
      <c r="G62" s="94">
        <v>0</v>
      </c>
      <c r="H62" s="94" t="s">
        <v>70</v>
      </c>
      <c r="I62" s="94">
        <v>270</v>
      </c>
      <c r="J62" s="94" t="s">
        <v>639</v>
      </c>
      <c r="K62" s="94">
        <v>89</v>
      </c>
      <c r="L62" s="94">
        <v>91.149993896484403</v>
      </c>
      <c r="M62" s="94">
        <v>0</v>
      </c>
      <c r="N62" s="94">
        <v>0</v>
      </c>
      <c r="O62" s="94">
        <v>0</v>
      </c>
      <c r="P62" s="94" t="s">
        <v>70</v>
      </c>
    </row>
    <row r="63" spans="1:16" x14ac:dyDescent="0.35">
      <c r="A63" s="94">
        <v>275</v>
      </c>
      <c r="B63" s="94" t="s">
        <v>640</v>
      </c>
      <c r="C63" s="94">
        <v>3.9999999105930301E-2</v>
      </c>
      <c r="D63" s="94">
        <v>0.129999995231628</v>
      </c>
      <c r="E63" s="94">
        <v>0</v>
      </c>
      <c r="F63" s="94">
        <v>28.6501159667969</v>
      </c>
      <c r="G63" s="94">
        <v>0</v>
      </c>
      <c r="H63" s="94" t="s">
        <v>70</v>
      </c>
      <c r="I63" s="94">
        <v>275</v>
      </c>
      <c r="J63" s="94" t="s">
        <v>641</v>
      </c>
      <c r="K63" s="94">
        <v>94</v>
      </c>
      <c r="L63" s="94">
        <v>96.149993896484403</v>
      </c>
      <c r="M63" s="94">
        <v>0</v>
      </c>
      <c r="N63" s="94">
        <v>0</v>
      </c>
      <c r="O63" s="94">
        <v>0</v>
      </c>
      <c r="P63" s="94" t="s">
        <v>70</v>
      </c>
    </row>
    <row r="64" spans="1:16" x14ac:dyDescent="0.35">
      <c r="A64" s="94">
        <v>280</v>
      </c>
      <c r="B64" s="94" t="s">
        <v>642</v>
      </c>
      <c r="C64" s="94">
        <v>3.0000001192092899E-2</v>
      </c>
      <c r="D64" s="94">
        <v>0.129999995231628</v>
      </c>
      <c r="E64" s="94">
        <v>0</v>
      </c>
      <c r="F64" s="94">
        <v>29.496583938598601</v>
      </c>
      <c r="G64" s="94">
        <v>0</v>
      </c>
      <c r="H64" s="94" t="s">
        <v>70</v>
      </c>
      <c r="I64" s="94">
        <v>280</v>
      </c>
      <c r="J64" s="94" t="s">
        <v>643</v>
      </c>
      <c r="K64" s="94">
        <v>99</v>
      </c>
      <c r="L64" s="94">
        <v>101.14999389648401</v>
      </c>
      <c r="M64" s="94">
        <v>0</v>
      </c>
      <c r="N64" s="94">
        <v>0</v>
      </c>
      <c r="O64" s="94">
        <v>0</v>
      </c>
      <c r="P64" s="94" t="s">
        <v>70</v>
      </c>
    </row>
    <row r="65" spans="1:16" x14ac:dyDescent="0.35">
      <c r="A65" s="94">
        <v>285</v>
      </c>
      <c r="B65" s="94" t="s">
        <v>644</v>
      </c>
      <c r="C65" s="94">
        <v>1.00000016391277E-2</v>
      </c>
      <c r="D65" s="94">
        <v>0.129999995231628</v>
      </c>
      <c r="E65" s="94">
        <v>0</v>
      </c>
      <c r="F65" s="94">
        <v>30.058458328247099</v>
      </c>
      <c r="G65" s="94">
        <v>0</v>
      </c>
      <c r="H65" s="94" t="s">
        <v>70</v>
      </c>
      <c r="I65" s="94">
        <v>285</v>
      </c>
      <c r="J65" s="94" t="s">
        <v>645</v>
      </c>
      <c r="K65" s="94">
        <v>104</v>
      </c>
      <c r="L65" s="94">
        <v>106.14999389648401</v>
      </c>
      <c r="M65" s="94">
        <v>0</v>
      </c>
      <c r="N65" s="94">
        <v>0</v>
      </c>
      <c r="O65" s="94">
        <v>0</v>
      </c>
      <c r="P65" s="94" t="s">
        <v>70</v>
      </c>
    </row>
    <row r="66" spans="1:16" x14ac:dyDescent="0.35">
      <c r="A66" s="94">
        <v>290</v>
      </c>
      <c r="B66" s="94" t="s">
        <v>646</v>
      </c>
      <c r="C66" s="94">
        <v>9.9999979138374294E-3</v>
      </c>
      <c r="D66" s="94">
        <v>0.110000014305115</v>
      </c>
      <c r="E66" s="94">
        <v>0</v>
      </c>
      <c r="F66" s="94">
        <v>30.528348922729499</v>
      </c>
      <c r="G66" s="94">
        <v>0</v>
      </c>
      <c r="H66" s="94" t="s">
        <v>70</v>
      </c>
      <c r="I66" s="94">
        <v>290</v>
      </c>
      <c r="J66" s="94" t="s">
        <v>647</v>
      </c>
      <c r="K66" s="94">
        <v>109</v>
      </c>
      <c r="L66" s="94">
        <v>111.14999389648401</v>
      </c>
      <c r="M66" s="94">
        <v>0</v>
      </c>
      <c r="N66" s="94">
        <v>0</v>
      </c>
      <c r="O66" s="94">
        <v>0</v>
      </c>
      <c r="P66" s="94" t="s">
        <v>70</v>
      </c>
    </row>
    <row r="67" spans="1:16" x14ac:dyDescent="0.35">
      <c r="A67" s="94">
        <v>295</v>
      </c>
      <c r="B67" s="94" t="s">
        <v>648</v>
      </c>
      <c r="C67" s="94">
        <v>0</v>
      </c>
      <c r="D67" s="94">
        <v>0.110000014305115</v>
      </c>
      <c r="E67" s="94">
        <v>0</v>
      </c>
      <c r="F67" s="94">
        <v>33.714420318603501</v>
      </c>
      <c r="G67" s="94">
        <v>0</v>
      </c>
      <c r="H67" s="94" t="s">
        <v>70</v>
      </c>
      <c r="I67" s="94">
        <v>295</v>
      </c>
      <c r="J67" s="94" t="s">
        <v>649</v>
      </c>
      <c r="K67" s="94">
        <v>114</v>
      </c>
      <c r="L67" s="94">
        <v>116.14999389648401</v>
      </c>
      <c r="M67" s="94">
        <v>0</v>
      </c>
      <c r="N67" s="94">
        <v>0</v>
      </c>
      <c r="O67" s="94">
        <v>0</v>
      </c>
      <c r="P67" s="94" t="s">
        <v>70</v>
      </c>
    </row>
    <row r="68" spans="1:16" x14ac:dyDescent="0.35">
      <c r="A68" s="94">
        <v>300</v>
      </c>
      <c r="B68" s="94" t="s">
        <v>650</v>
      </c>
      <c r="C68" s="94">
        <v>0</v>
      </c>
      <c r="D68" s="94">
        <v>0.110000014305115</v>
      </c>
      <c r="E68" s="94">
        <v>0</v>
      </c>
      <c r="F68" s="94">
        <v>34.697044372558601</v>
      </c>
      <c r="G68" s="94">
        <v>0</v>
      </c>
      <c r="H68" s="94" t="s">
        <v>70</v>
      </c>
      <c r="I68" s="94">
        <v>300</v>
      </c>
      <c r="J68" s="94" t="s">
        <v>651</v>
      </c>
      <c r="K68" s="94">
        <v>119</v>
      </c>
      <c r="L68" s="94">
        <v>121.14999389648401</v>
      </c>
      <c r="M68" s="94">
        <v>0</v>
      </c>
      <c r="N68" s="94">
        <v>0</v>
      </c>
      <c r="O68" s="94">
        <v>0</v>
      </c>
      <c r="P68" s="94" t="s">
        <v>70</v>
      </c>
    </row>
    <row r="69" spans="1:16" x14ac:dyDescent="0.35">
      <c r="A69" s="94">
        <v>305</v>
      </c>
      <c r="B69" s="94" t="s">
        <v>652</v>
      </c>
      <c r="C69" s="94">
        <v>0</v>
      </c>
      <c r="D69" s="94">
        <v>0.110000014305115</v>
      </c>
      <c r="E69" s="94">
        <v>0</v>
      </c>
      <c r="F69" s="94">
        <v>35.662544250488303</v>
      </c>
      <c r="G69" s="94">
        <v>0</v>
      </c>
      <c r="H69" s="94" t="s">
        <v>70</v>
      </c>
      <c r="I69" s="94">
        <v>305</v>
      </c>
      <c r="J69" s="94" t="s">
        <v>653</v>
      </c>
      <c r="K69" s="94">
        <v>124</v>
      </c>
      <c r="L69" s="94">
        <v>126.14999389648401</v>
      </c>
      <c r="M69" s="94">
        <v>0</v>
      </c>
      <c r="N69" s="94">
        <v>0</v>
      </c>
      <c r="O69" s="94">
        <v>0</v>
      </c>
      <c r="P69" s="94" t="s">
        <v>70</v>
      </c>
    </row>
    <row r="70" spans="1:16" x14ac:dyDescent="0.35">
      <c r="A70" s="94">
        <v>310</v>
      </c>
      <c r="B70" s="94" t="s">
        <v>654</v>
      </c>
      <c r="C70" s="94">
        <v>0</v>
      </c>
      <c r="D70" s="94">
        <v>0.10000002384185799</v>
      </c>
      <c r="E70" s="94">
        <v>0</v>
      </c>
      <c r="F70" s="94">
        <v>36.202144622802699</v>
      </c>
      <c r="G70" s="94">
        <v>0</v>
      </c>
      <c r="H70" s="94" t="s">
        <v>70</v>
      </c>
      <c r="I70" s="94">
        <v>310</v>
      </c>
      <c r="J70" s="94" t="s">
        <v>655</v>
      </c>
      <c r="K70" s="94">
        <v>129</v>
      </c>
      <c r="L70" s="94">
        <v>131.14999389648401</v>
      </c>
      <c r="M70" s="94">
        <v>0</v>
      </c>
      <c r="N70" s="94">
        <v>0</v>
      </c>
      <c r="O70" s="94">
        <v>0</v>
      </c>
      <c r="P70" s="94" t="s">
        <v>70</v>
      </c>
    </row>
    <row r="71" spans="1:16" x14ac:dyDescent="0.35">
      <c r="A71" s="94">
        <v>315</v>
      </c>
      <c r="B71" s="94" t="s">
        <v>656</v>
      </c>
      <c r="C71" s="94">
        <v>0</v>
      </c>
      <c r="D71" s="94">
        <v>7.9999983310699505E-2</v>
      </c>
      <c r="E71" s="94">
        <v>0</v>
      </c>
      <c r="F71" s="94">
        <v>36.202171325683601</v>
      </c>
      <c r="G71" s="94">
        <v>0</v>
      </c>
      <c r="H71" s="94" t="s">
        <v>70</v>
      </c>
      <c r="I71" s="94">
        <v>315</v>
      </c>
      <c r="J71" s="94" t="s">
        <v>657</v>
      </c>
      <c r="K71" s="94">
        <v>134</v>
      </c>
      <c r="L71" s="94">
        <v>136.14999389648401</v>
      </c>
      <c r="M71" s="94">
        <v>0</v>
      </c>
      <c r="N71" s="94">
        <v>0</v>
      </c>
      <c r="O71" s="94">
        <v>0</v>
      </c>
      <c r="P71" s="94" t="s">
        <v>70</v>
      </c>
    </row>
    <row r="72" spans="1:16" x14ac:dyDescent="0.35">
      <c r="A72" s="94">
        <v>320</v>
      </c>
      <c r="B72" s="94" t="s">
        <v>658</v>
      </c>
      <c r="C72" s="94">
        <v>0</v>
      </c>
      <c r="D72" s="94">
        <v>5.9999998658895499E-2</v>
      </c>
      <c r="E72" s="94">
        <v>0</v>
      </c>
      <c r="F72" s="94">
        <v>35.964847564697301</v>
      </c>
      <c r="G72" s="94">
        <v>0</v>
      </c>
      <c r="H72" s="94" t="s">
        <v>70</v>
      </c>
      <c r="I72" s="94">
        <v>320</v>
      </c>
      <c r="J72" s="94" t="s">
        <v>659</v>
      </c>
      <c r="K72" s="94">
        <v>139</v>
      </c>
      <c r="L72" s="94">
        <v>141.14999389648401</v>
      </c>
      <c r="M72" s="94">
        <v>0</v>
      </c>
      <c r="N72" s="94">
        <v>0</v>
      </c>
      <c r="O72" s="94">
        <v>0</v>
      </c>
      <c r="P72" s="94" t="s">
        <v>70</v>
      </c>
    </row>
    <row r="73" spans="1:16" x14ac:dyDescent="0.35">
      <c r="A73" s="94">
        <v>325</v>
      </c>
      <c r="B73" s="94" t="s">
        <v>660</v>
      </c>
      <c r="C73" s="94">
        <v>0</v>
      </c>
      <c r="D73" s="94">
        <v>5.9999998658895499E-2</v>
      </c>
      <c r="E73" s="94">
        <v>0</v>
      </c>
      <c r="F73" s="94">
        <v>36.805183410644503</v>
      </c>
      <c r="G73" s="94">
        <v>0</v>
      </c>
      <c r="H73" s="94" t="s">
        <v>70</v>
      </c>
      <c r="I73" s="94">
        <v>325</v>
      </c>
      <c r="J73" s="94" t="s">
        <v>661</v>
      </c>
      <c r="K73" s="94">
        <v>144</v>
      </c>
      <c r="L73" s="94">
        <v>146.14999389648401</v>
      </c>
      <c r="M73" s="94">
        <v>0</v>
      </c>
      <c r="N73" s="94">
        <v>0</v>
      </c>
      <c r="O73" s="94">
        <v>0</v>
      </c>
      <c r="P73" s="94" t="s">
        <v>70</v>
      </c>
    </row>
    <row r="74" spans="1:16" x14ac:dyDescent="0.35">
      <c r="A74" s="94">
        <v>330</v>
      </c>
      <c r="B74" s="94" t="s">
        <v>662</v>
      </c>
      <c r="C74" s="94">
        <v>0</v>
      </c>
      <c r="D74" s="94">
        <v>5.9999998658895499E-2</v>
      </c>
      <c r="E74" s="94">
        <v>0</v>
      </c>
      <c r="F74" s="94">
        <v>37.635017395019503</v>
      </c>
      <c r="G74" s="94">
        <v>0</v>
      </c>
      <c r="H74" s="94" t="s">
        <v>70</v>
      </c>
      <c r="I74" s="94">
        <v>330</v>
      </c>
      <c r="J74" s="94" t="s">
        <v>663</v>
      </c>
      <c r="K74" s="94">
        <v>149</v>
      </c>
      <c r="L74" s="94">
        <v>151.14999389648401</v>
      </c>
      <c r="M74" s="94">
        <v>0</v>
      </c>
      <c r="N74" s="94">
        <v>0</v>
      </c>
      <c r="O74" s="94">
        <v>0</v>
      </c>
      <c r="P74" s="94" t="s">
        <v>70</v>
      </c>
    </row>
    <row r="75" spans="1:16" x14ac:dyDescent="0.35">
      <c r="A75" s="94">
        <v>335</v>
      </c>
      <c r="B75" s="94" t="s">
        <v>664</v>
      </c>
      <c r="C75" s="94">
        <v>0</v>
      </c>
      <c r="D75" s="94">
        <v>5.0000000745058101E-2</v>
      </c>
      <c r="E75" s="94">
        <v>0</v>
      </c>
      <c r="F75" s="94">
        <v>37.792591094970703</v>
      </c>
      <c r="G75" s="94">
        <v>0</v>
      </c>
      <c r="H75" s="94" t="s">
        <v>70</v>
      </c>
      <c r="I75" s="94">
        <v>335</v>
      </c>
      <c r="J75" s="94" t="s">
        <v>665</v>
      </c>
      <c r="K75" s="94">
        <v>154</v>
      </c>
      <c r="L75" s="94">
        <v>156.14999389648401</v>
      </c>
      <c r="M75" s="94">
        <v>0</v>
      </c>
      <c r="N75" s="94">
        <v>0</v>
      </c>
      <c r="O75" s="94">
        <v>0</v>
      </c>
      <c r="P75" s="94" t="s">
        <v>70</v>
      </c>
    </row>
    <row r="76" spans="1:16" x14ac:dyDescent="0.35">
      <c r="A76" s="94">
        <v>340</v>
      </c>
      <c r="B76" s="94" t="s">
        <v>666</v>
      </c>
      <c r="C76" s="94">
        <v>0</v>
      </c>
      <c r="D76" s="94">
        <v>3.9999999105930301E-2</v>
      </c>
      <c r="E76" s="94">
        <v>0</v>
      </c>
      <c r="F76" s="94">
        <v>37.700672149658203</v>
      </c>
      <c r="G76" s="94">
        <v>0</v>
      </c>
      <c r="H76" s="94" t="s">
        <v>70</v>
      </c>
      <c r="I76" s="94">
        <v>340</v>
      </c>
      <c r="J76" s="94" t="s">
        <v>667</v>
      </c>
      <c r="K76" s="94">
        <v>159</v>
      </c>
      <c r="L76" s="94">
        <v>161.14999389648401</v>
      </c>
      <c r="M76" s="94">
        <v>0</v>
      </c>
      <c r="N76" s="94">
        <v>0</v>
      </c>
      <c r="O76" s="94">
        <v>0</v>
      </c>
      <c r="P76" s="94" t="s">
        <v>70</v>
      </c>
    </row>
  </sheetData>
  <mergeCells count="2">
    <mergeCell ref="A1:H1"/>
    <mergeCell ref="A3:H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FC41A-3DBC-B640-B0E3-4C7548160405}">
  <sheetPr codeName="Sheet13"/>
  <dimension ref="A1:P29"/>
  <sheetViews>
    <sheetView topLeftCell="D10" workbookViewId="0">
      <selection activeCell="B6" sqref="B6"/>
    </sheetView>
  </sheetViews>
  <sheetFormatPr defaultColWidth="8.81640625" defaultRowHeight="14.5" x14ac:dyDescent="0.35"/>
  <cols>
    <col min="1" max="2" width="9.1796875" style="50" bestFit="1" customWidth="1"/>
    <col min="3" max="6" width="17" style="50" bestFit="1" customWidth="1"/>
    <col min="7" max="10" width="9.1796875" style="50" bestFit="1" customWidth="1"/>
    <col min="11" max="14" width="17" style="50" bestFit="1" customWidth="1"/>
    <col min="15" max="16" width="9.1796875" style="50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956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100</v>
      </c>
      <c r="B4" s="94" t="s">
        <v>668</v>
      </c>
      <c r="C4" s="94">
        <v>79.5</v>
      </c>
      <c r="D4" s="94">
        <v>81.5</v>
      </c>
      <c r="E4" s="94">
        <v>0</v>
      </c>
      <c r="F4" s="94">
        <v>45.564495086669901</v>
      </c>
      <c r="G4" s="94">
        <v>0</v>
      </c>
      <c r="H4" s="94" t="s">
        <v>70</v>
      </c>
      <c r="I4" s="94">
        <v>100</v>
      </c>
      <c r="J4" s="94" t="s">
        <v>669</v>
      </c>
      <c r="K4" s="94">
        <v>6.9999992847442599E-2</v>
      </c>
      <c r="L4" s="94">
        <v>0.18000000715255701</v>
      </c>
      <c r="M4" s="94">
        <v>0</v>
      </c>
      <c r="N4" s="94">
        <v>38.888694763183601</v>
      </c>
      <c r="O4" s="94">
        <v>0</v>
      </c>
      <c r="P4" s="94" t="s">
        <v>70</v>
      </c>
    </row>
    <row r="5" spans="1:16" x14ac:dyDescent="0.35">
      <c r="A5" s="94">
        <v>105</v>
      </c>
      <c r="B5" s="94" t="s">
        <v>670</v>
      </c>
      <c r="C5" s="94">
        <v>74.599998474121094</v>
      </c>
      <c r="D5" s="94">
        <v>76.5</v>
      </c>
      <c r="E5" s="94">
        <v>0</v>
      </c>
      <c r="F5" s="94">
        <v>42.558815002441399</v>
      </c>
      <c r="G5" s="94">
        <v>0</v>
      </c>
      <c r="H5" s="94" t="s">
        <v>70</v>
      </c>
      <c r="I5" s="94">
        <v>105</v>
      </c>
      <c r="J5" s="94" t="s">
        <v>671</v>
      </c>
      <c r="K5" s="94">
        <v>0.10000002384185799</v>
      </c>
      <c r="L5" s="94">
        <v>0.20999997854232799</v>
      </c>
      <c r="M5" s="94">
        <v>0</v>
      </c>
      <c r="N5" s="94">
        <v>37.012149810791001</v>
      </c>
      <c r="O5" s="94">
        <v>0</v>
      </c>
      <c r="P5" s="94" t="s">
        <v>70</v>
      </c>
    </row>
    <row r="6" spans="1:16" x14ac:dyDescent="0.35">
      <c r="A6" s="94">
        <v>110</v>
      </c>
      <c r="B6" s="94" t="s">
        <v>672</v>
      </c>
      <c r="C6" s="94">
        <v>69.5</v>
      </c>
      <c r="D6" s="94">
        <v>71.600006103515597</v>
      </c>
      <c r="E6" s="94">
        <v>0</v>
      </c>
      <c r="F6" s="94">
        <v>38.625438690185497</v>
      </c>
      <c r="G6" s="94">
        <v>0</v>
      </c>
      <c r="H6" s="94" t="s">
        <v>70</v>
      </c>
      <c r="I6" s="94">
        <v>110</v>
      </c>
      <c r="J6" s="94" t="s">
        <v>673</v>
      </c>
      <c r="K6" s="94">
        <v>0.14999997615814201</v>
      </c>
      <c r="L6" s="94">
        <v>0.259999990463257</v>
      </c>
      <c r="M6" s="94">
        <v>0</v>
      </c>
      <c r="N6" s="94">
        <v>35.529430389404297</v>
      </c>
      <c r="O6" s="94">
        <v>0</v>
      </c>
      <c r="P6" s="94" t="s">
        <v>70</v>
      </c>
    </row>
    <row r="7" spans="1:16" x14ac:dyDescent="0.35">
      <c r="A7" s="94">
        <v>115</v>
      </c>
      <c r="B7" s="94" t="s">
        <v>674</v>
      </c>
      <c r="C7" s="94">
        <v>64.550003051757798</v>
      </c>
      <c r="D7" s="94">
        <v>66.650009155273395</v>
      </c>
      <c r="E7" s="94">
        <v>0</v>
      </c>
      <c r="F7" s="94">
        <v>35.683990478515597</v>
      </c>
      <c r="G7" s="94">
        <v>0</v>
      </c>
      <c r="H7" s="94" t="s">
        <v>70</v>
      </c>
      <c r="I7" s="94">
        <v>115</v>
      </c>
      <c r="J7" s="94" t="s">
        <v>675</v>
      </c>
      <c r="K7" s="94">
        <v>0.230000019073486</v>
      </c>
      <c r="L7" s="94">
        <v>0.30000001192092901</v>
      </c>
      <c r="M7" s="94">
        <v>0.259999990463257</v>
      </c>
      <c r="N7" s="94">
        <v>33.985641479492202</v>
      </c>
      <c r="O7" s="94">
        <v>105</v>
      </c>
      <c r="P7" s="94" t="s">
        <v>70</v>
      </c>
    </row>
    <row r="8" spans="1:16" x14ac:dyDescent="0.35">
      <c r="A8" s="94">
        <v>120</v>
      </c>
      <c r="B8" s="94" t="s">
        <v>676</v>
      </c>
      <c r="C8" s="94">
        <v>59.700000762939503</v>
      </c>
      <c r="D8" s="94">
        <v>61.75</v>
      </c>
      <c r="E8" s="94">
        <v>0</v>
      </c>
      <c r="F8" s="94">
        <v>34.010906219482401</v>
      </c>
      <c r="G8" s="94">
        <v>0</v>
      </c>
      <c r="H8" s="94" t="s">
        <v>70</v>
      </c>
      <c r="I8" s="94">
        <v>120</v>
      </c>
      <c r="J8" s="94" t="s">
        <v>677</v>
      </c>
      <c r="K8" s="94">
        <v>0.31000000238418601</v>
      </c>
      <c r="L8" s="94">
        <v>0.43000000715255698</v>
      </c>
      <c r="M8" s="94">
        <v>0.37000000476837203</v>
      </c>
      <c r="N8" s="94">
        <v>32.921520233154297</v>
      </c>
      <c r="O8" s="94">
        <v>32</v>
      </c>
      <c r="P8" s="94" t="s">
        <v>70</v>
      </c>
    </row>
    <row r="9" spans="1:16" x14ac:dyDescent="0.35">
      <c r="A9" s="94">
        <v>125</v>
      </c>
      <c r="B9" s="94" t="s">
        <v>678</v>
      </c>
      <c r="C9" s="94">
        <v>54.950000762939503</v>
      </c>
      <c r="D9" s="94">
        <v>56.949996948242202</v>
      </c>
      <c r="E9" s="94">
        <v>0</v>
      </c>
      <c r="F9" s="94">
        <v>33.297367095947301</v>
      </c>
      <c r="G9" s="94">
        <v>0</v>
      </c>
      <c r="H9" s="94" t="s">
        <v>70</v>
      </c>
      <c r="I9" s="94">
        <v>125</v>
      </c>
      <c r="J9" s="94" t="s">
        <v>679</v>
      </c>
      <c r="K9" s="94">
        <v>0.43999999761581399</v>
      </c>
      <c r="L9" s="94">
        <v>0.56999999284744296</v>
      </c>
      <c r="M9" s="94">
        <v>0.5</v>
      </c>
      <c r="N9" s="94">
        <v>31.805944442748999</v>
      </c>
      <c r="O9" s="94">
        <v>65</v>
      </c>
      <c r="P9" s="94" t="s">
        <v>70</v>
      </c>
    </row>
    <row r="10" spans="1:16" x14ac:dyDescent="0.35">
      <c r="A10" s="94">
        <v>130</v>
      </c>
      <c r="B10" s="94" t="s">
        <v>680</v>
      </c>
      <c r="C10" s="94">
        <v>50.100006103515597</v>
      </c>
      <c r="D10" s="94">
        <v>52.099990844726598</v>
      </c>
      <c r="E10" s="94">
        <v>0</v>
      </c>
      <c r="F10" s="94">
        <v>31.346918106079102</v>
      </c>
      <c r="G10" s="94">
        <v>0</v>
      </c>
      <c r="H10" s="94" t="s">
        <v>70</v>
      </c>
      <c r="I10" s="94">
        <v>130</v>
      </c>
      <c r="J10" s="94" t="s">
        <v>681</v>
      </c>
      <c r="K10" s="94">
        <v>0.62999999523162797</v>
      </c>
      <c r="L10" s="94">
        <v>0.70999997854232799</v>
      </c>
      <c r="M10" s="94">
        <v>0.60000002384185802</v>
      </c>
      <c r="N10" s="94">
        <v>30.584873199462901</v>
      </c>
      <c r="O10" s="94">
        <v>11</v>
      </c>
      <c r="P10" s="94" t="s">
        <v>70</v>
      </c>
    </row>
    <row r="11" spans="1:16" x14ac:dyDescent="0.35">
      <c r="A11" s="94">
        <v>135</v>
      </c>
      <c r="B11" s="94" t="s">
        <v>682</v>
      </c>
      <c r="C11" s="94">
        <v>45.5499877929688</v>
      </c>
      <c r="D11" s="94">
        <v>47.449996948242202</v>
      </c>
      <c r="E11" s="94">
        <v>0</v>
      </c>
      <c r="F11" s="94">
        <v>31.139957427978501</v>
      </c>
      <c r="G11" s="94">
        <v>0</v>
      </c>
      <c r="H11" s="94" t="s">
        <v>70</v>
      </c>
      <c r="I11" s="94">
        <v>135</v>
      </c>
      <c r="J11" s="94" t="s">
        <v>683</v>
      </c>
      <c r="K11" s="94">
        <v>0.89999997615814198</v>
      </c>
      <c r="L11" s="94">
        <v>0.99000000953674305</v>
      </c>
      <c r="M11" s="94">
        <v>0.79000002145767201</v>
      </c>
      <c r="N11" s="94">
        <v>29.835380554199201</v>
      </c>
      <c r="O11" s="94">
        <v>6</v>
      </c>
      <c r="P11" s="94" t="s">
        <v>70</v>
      </c>
    </row>
    <row r="12" spans="1:16" x14ac:dyDescent="0.35">
      <c r="A12" s="94">
        <v>140</v>
      </c>
      <c r="B12" s="94" t="s">
        <v>684</v>
      </c>
      <c r="C12" s="94">
        <v>41.449996948242202</v>
      </c>
      <c r="D12" s="94">
        <v>42</v>
      </c>
      <c r="E12" s="94">
        <v>0</v>
      </c>
      <c r="F12" s="94">
        <v>29.166284561157202</v>
      </c>
      <c r="G12" s="94">
        <v>0</v>
      </c>
      <c r="H12" s="94" t="s">
        <v>70</v>
      </c>
      <c r="I12" s="94">
        <v>140</v>
      </c>
      <c r="J12" s="94" t="s">
        <v>685</v>
      </c>
      <c r="K12" s="94">
        <v>1.21999931335449</v>
      </c>
      <c r="L12" s="94">
        <v>1.3199996948242201</v>
      </c>
      <c r="M12" s="94">
        <v>1.25</v>
      </c>
      <c r="N12" s="94">
        <v>28.852828979492202</v>
      </c>
      <c r="O12" s="94">
        <v>418</v>
      </c>
      <c r="P12" s="94" t="s">
        <v>70</v>
      </c>
    </row>
    <row r="13" spans="1:16" x14ac:dyDescent="0.35">
      <c r="A13" s="94">
        <v>145</v>
      </c>
      <c r="B13" s="94" t="s">
        <v>686</v>
      </c>
      <c r="C13" s="94">
        <v>36.399993896484403</v>
      </c>
      <c r="D13" s="94">
        <v>38.099990844726598</v>
      </c>
      <c r="E13" s="94">
        <v>0</v>
      </c>
      <c r="F13" s="94">
        <v>28.5392570495606</v>
      </c>
      <c r="G13" s="94">
        <v>0</v>
      </c>
      <c r="H13" s="94" t="s">
        <v>70</v>
      </c>
      <c r="I13" s="94">
        <v>145</v>
      </c>
      <c r="J13" s="94" t="s">
        <v>687</v>
      </c>
      <c r="K13" s="94">
        <v>1.6800003051757799</v>
      </c>
      <c r="L13" s="94">
        <v>1.7799997329711901</v>
      </c>
      <c r="M13" s="94">
        <v>1.4800004959106501</v>
      </c>
      <c r="N13" s="94">
        <v>28.068351745605501</v>
      </c>
      <c r="O13" s="94">
        <v>400</v>
      </c>
      <c r="P13" s="94" t="s">
        <v>70</v>
      </c>
    </row>
    <row r="14" spans="1:16" x14ac:dyDescent="0.35">
      <c r="A14" s="94">
        <v>150</v>
      </c>
      <c r="B14" s="94" t="s">
        <v>688</v>
      </c>
      <c r="C14" s="94">
        <v>32.350006103515597</v>
      </c>
      <c r="D14" s="94">
        <v>33.600006103515597</v>
      </c>
      <c r="E14" s="94">
        <v>0</v>
      </c>
      <c r="F14" s="94">
        <v>28.132249832153299</v>
      </c>
      <c r="G14" s="94">
        <v>0</v>
      </c>
      <c r="H14" s="94" t="s">
        <v>70</v>
      </c>
      <c r="I14" s="94">
        <v>150</v>
      </c>
      <c r="J14" s="94" t="s">
        <v>689</v>
      </c>
      <c r="K14" s="94">
        <v>2.2799997329711901</v>
      </c>
      <c r="L14" s="94">
        <v>2.3599996566772501</v>
      </c>
      <c r="M14" s="94">
        <v>2.32999992370606</v>
      </c>
      <c r="N14" s="94">
        <v>27.2721252441406</v>
      </c>
      <c r="O14" s="94">
        <v>5</v>
      </c>
      <c r="P14" s="94" t="s">
        <v>70</v>
      </c>
    </row>
    <row r="15" spans="1:16" x14ac:dyDescent="0.35">
      <c r="A15" s="94">
        <v>155</v>
      </c>
      <c r="B15" s="94" t="s">
        <v>690</v>
      </c>
      <c r="C15" s="94">
        <v>28.1499938964844</v>
      </c>
      <c r="D15" s="94">
        <v>29.3500061035156</v>
      </c>
      <c r="E15" s="94">
        <v>0</v>
      </c>
      <c r="F15" s="94">
        <v>27.240909576416001</v>
      </c>
      <c r="G15" s="94">
        <v>0</v>
      </c>
      <c r="H15" s="94" t="s">
        <v>70</v>
      </c>
      <c r="I15" s="94">
        <v>155</v>
      </c>
      <c r="J15" s="94" t="s">
        <v>691</v>
      </c>
      <c r="K15" s="94">
        <v>3.0500001907348602</v>
      </c>
      <c r="L15" s="94">
        <v>3.1999998092651398</v>
      </c>
      <c r="M15" s="94">
        <v>2.7300004959106499</v>
      </c>
      <c r="N15" s="94">
        <v>26.659868240356399</v>
      </c>
      <c r="O15" s="94">
        <v>37</v>
      </c>
      <c r="P15" s="94" t="s">
        <v>70</v>
      </c>
    </row>
    <row r="16" spans="1:16" x14ac:dyDescent="0.35">
      <c r="A16" s="94">
        <v>160</v>
      </c>
      <c r="B16" s="94" t="s">
        <v>692</v>
      </c>
      <c r="C16" s="94">
        <v>24.3500061035156</v>
      </c>
      <c r="D16" s="94">
        <v>24.75</v>
      </c>
      <c r="E16" s="94">
        <v>26.960006713867202</v>
      </c>
      <c r="F16" s="94">
        <v>25.890354156494102</v>
      </c>
      <c r="G16" s="94">
        <v>2</v>
      </c>
      <c r="H16" s="94" t="s">
        <v>70</v>
      </c>
      <c r="I16" s="94">
        <v>160</v>
      </c>
      <c r="J16" s="94" t="s">
        <v>693</v>
      </c>
      <c r="K16" s="94">
        <v>4.0500001907348597</v>
      </c>
      <c r="L16" s="94">
        <v>4.1499996185302699</v>
      </c>
      <c r="M16" s="94">
        <v>3.75</v>
      </c>
      <c r="N16" s="94">
        <v>25.935422897338899</v>
      </c>
      <c r="O16" s="94">
        <v>43</v>
      </c>
      <c r="P16" s="94" t="s">
        <v>70</v>
      </c>
    </row>
    <row r="17" spans="1:16" x14ac:dyDescent="0.35">
      <c r="A17" s="94">
        <v>165</v>
      </c>
      <c r="B17" s="94" t="s">
        <v>694</v>
      </c>
      <c r="C17" s="94">
        <v>20.75</v>
      </c>
      <c r="D17" s="94">
        <v>21.199996948242202</v>
      </c>
      <c r="E17" s="94">
        <v>22.3999938964844</v>
      </c>
      <c r="F17" s="94">
        <v>25.718748092651399</v>
      </c>
      <c r="G17" s="94">
        <v>5</v>
      </c>
      <c r="H17" s="94" t="s">
        <v>70</v>
      </c>
      <c r="I17" s="94">
        <v>165</v>
      </c>
      <c r="J17" s="94" t="s">
        <v>695</v>
      </c>
      <c r="K17" s="94">
        <v>5.3000001907348597</v>
      </c>
      <c r="L17" s="94">
        <v>5.4000005722045898</v>
      </c>
      <c r="M17" s="94">
        <v>5.3800001144409197</v>
      </c>
      <c r="N17" s="94">
        <v>25.323772430419901</v>
      </c>
      <c r="O17" s="94">
        <v>35</v>
      </c>
      <c r="P17" s="94" t="s">
        <v>70</v>
      </c>
    </row>
    <row r="18" spans="1:16" x14ac:dyDescent="0.35">
      <c r="A18" s="94">
        <v>170</v>
      </c>
      <c r="B18" s="94" t="s">
        <v>696</v>
      </c>
      <c r="C18" s="94">
        <v>17.25</v>
      </c>
      <c r="D18" s="94">
        <v>17.5</v>
      </c>
      <c r="E18" s="94">
        <v>17.6000061035156</v>
      </c>
      <c r="F18" s="94">
        <v>24.7650241851807</v>
      </c>
      <c r="G18" s="94">
        <v>33</v>
      </c>
      <c r="H18" s="94" t="s">
        <v>70</v>
      </c>
      <c r="I18" s="94">
        <v>170</v>
      </c>
      <c r="J18" s="94" t="s">
        <v>697</v>
      </c>
      <c r="K18" s="94">
        <v>6.8000001907348597</v>
      </c>
      <c r="L18" s="94">
        <v>6.9499998092651403</v>
      </c>
      <c r="M18" s="94">
        <v>7</v>
      </c>
      <c r="N18" s="94">
        <v>24.715049743652301</v>
      </c>
      <c r="O18" s="94">
        <v>78</v>
      </c>
      <c r="P18" s="94" t="s">
        <v>70</v>
      </c>
    </row>
    <row r="19" spans="1:16" x14ac:dyDescent="0.35">
      <c r="A19" s="94">
        <v>175</v>
      </c>
      <c r="B19" s="94" t="s">
        <v>698</v>
      </c>
      <c r="C19" s="94">
        <v>14.1499996185303</v>
      </c>
      <c r="D19" s="94">
        <v>14.3999996185303</v>
      </c>
      <c r="E19" s="94">
        <v>14.8400001525879</v>
      </c>
      <c r="F19" s="94">
        <v>24.300590515136701</v>
      </c>
      <c r="G19" s="94">
        <v>45</v>
      </c>
      <c r="H19" s="94" t="s">
        <v>70</v>
      </c>
      <c r="I19" s="94">
        <v>175</v>
      </c>
      <c r="J19" s="94" t="s">
        <v>699</v>
      </c>
      <c r="K19" s="94">
        <v>8.6999998092651403</v>
      </c>
      <c r="L19" s="94">
        <v>8.8500003814697301</v>
      </c>
      <c r="M19" s="94">
        <v>7.6500005722045898</v>
      </c>
      <c r="N19" s="94">
        <v>24.264533996581999</v>
      </c>
      <c r="O19" s="94">
        <v>32</v>
      </c>
      <c r="P19" s="94" t="s">
        <v>70</v>
      </c>
    </row>
    <row r="20" spans="1:16" x14ac:dyDescent="0.35">
      <c r="A20" s="94">
        <v>180</v>
      </c>
      <c r="B20" s="94" t="s">
        <v>700</v>
      </c>
      <c r="C20" s="94">
        <v>11.3999996185303</v>
      </c>
      <c r="D20" s="94">
        <v>11.6000003814697</v>
      </c>
      <c r="E20" s="94">
        <v>11.3500003814697</v>
      </c>
      <c r="F20" s="94">
        <v>23.8254699707031</v>
      </c>
      <c r="G20" s="94">
        <v>191</v>
      </c>
      <c r="H20" s="94" t="s">
        <v>70</v>
      </c>
      <c r="I20" s="94">
        <v>180</v>
      </c>
      <c r="J20" s="94" t="s">
        <v>701</v>
      </c>
      <c r="K20" s="94">
        <v>10.8999996185303</v>
      </c>
      <c r="L20" s="94">
        <v>11.1000003814697</v>
      </c>
      <c r="M20" s="94">
        <v>10</v>
      </c>
      <c r="N20" s="94">
        <v>23.795696258544901</v>
      </c>
      <c r="O20" s="94">
        <v>13</v>
      </c>
      <c r="P20" s="94" t="s">
        <v>70</v>
      </c>
    </row>
    <row r="21" spans="1:16" x14ac:dyDescent="0.35">
      <c r="A21" s="94">
        <v>185</v>
      </c>
      <c r="B21" s="94" t="s">
        <v>702</v>
      </c>
      <c r="C21" s="94">
        <v>9</v>
      </c>
      <c r="D21" s="94">
        <v>9.1999998092651403</v>
      </c>
      <c r="E21" s="94">
        <v>8.8999996185302699</v>
      </c>
      <c r="F21" s="94">
        <v>23.4129734039307</v>
      </c>
      <c r="G21" s="94">
        <v>302</v>
      </c>
      <c r="H21" s="94" t="s">
        <v>70</v>
      </c>
      <c r="I21" s="94">
        <v>185</v>
      </c>
      <c r="J21" s="94" t="s">
        <v>703</v>
      </c>
      <c r="K21" s="94">
        <v>13.5</v>
      </c>
      <c r="L21" s="94">
        <v>13.699999809265099</v>
      </c>
      <c r="M21" s="94">
        <v>13.800000190734901</v>
      </c>
      <c r="N21" s="94">
        <v>23.390008926391602</v>
      </c>
      <c r="O21" s="94">
        <v>266</v>
      </c>
      <c r="P21" s="94" t="s">
        <v>70</v>
      </c>
    </row>
    <row r="22" spans="1:16" x14ac:dyDescent="0.35">
      <c r="A22" s="94">
        <v>190</v>
      </c>
      <c r="B22" s="94" t="s">
        <v>704</v>
      </c>
      <c r="C22" s="94">
        <v>7</v>
      </c>
      <c r="D22" s="94">
        <v>7.1500005722045898</v>
      </c>
      <c r="E22" s="94">
        <v>7.1100006103515598</v>
      </c>
      <c r="F22" s="94">
        <v>23.066158294677699</v>
      </c>
      <c r="G22" s="94">
        <v>122</v>
      </c>
      <c r="H22" s="94" t="s">
        <v>70</v>
      </c>
      <c r="I22" s="94">
        <v>190</v>
      </c>
      <c r="J22" s="94" t="s">
        <v>705</v>
      </c>
      <c r="K22" s="94">
        <v>16.449996948242202</v>
      </c>
      <c r="L22" s="94">
        <v>16.6499938964844</v>
      </c>
      <c r="M22" s="94">
        <v>14.6000003814697</v>
      </c>
      <c r="N22" s="94">
        <v>22.990146636962901</v>
      </c>
      <c r="O22" s="94">
        <v>23</v>
      </c>
      <c r="P22" s="94" t="s">
        <v>70</v>
      </c>
    </row>
    <row r="23" spans="1:16" x14ac:dyDescent="0.35">
      <c r="A23" s="94">
        <v>195</v>
      </c>
      <c r="B23" s="94" t="s">
        <v>706</v>
      </c>
      <c r="C23" s="94">
        <v>5.3000001907348597</v>
      </c>
      <c r="D23" s="94">
        <v>5.5</v>
      </c>
      <c r="E23" s="94">
        <v>5.96000003814697</v>
      </c>
      <c r="F23" s="94">
        <v>22.761903762817401</v>
      </c>
      <c r="G23" s="94">
        <v>94</v>
      </c>
      <c r="H23" s="94" t="s">
        <v>70</v>
      </c>
      <c r="I23" s="94">
        <v>195</v>
      </c>
      <c r="J23" s="94" t="s">
        <v>707</v>
      </c>
      <c r="K23" s="94">
        <v>19.699996948242202</v>
      </c>
      <c r="L23" s="94">
        <v>20.050003051757798</v>
      </c>
      <c r="M23" s="94">
        <v>0</v>
      </c>
      <c r="N23" s="94">
        <v>22.676458358764599</v>
      </c>
      <c r="O23" s="94">
        <v>0</v>
      </c>
      <c r="P23" s="94" t="s">
        <v>70</v>
      </c>
    </row>
    <row r="24" spans="1:16" x14ac:dyDescent="0.35">
      <c r="A24" s="94">
        <v>200</v>
      </c>
      <c r="B24" s="94" t="s">
        <v>708</v>
      </c>
      <c r="C24" s="94">
        <v>4</v>
      </c>
      <c r="D24" s="94">
        <v>4.1000003814697301</v>
      </c>
      <c r="E24" s="94">
        <v>3.9499998092651398</v>
      </c>
      <c r="F24" s="94">
        <v>22.504318237304702</v>
      </c>
      <c r="G24" s="94">
        <v>556</v>
      </c>
      <c r="H24" s="94" t="s">
        <v>70</v>
      </c>
      <c r="I24" s="94">
        <v>200</v>
      </c>
      <c r="J24" s="94" t="s">
        <v>709</v>
      </c>
      <c r="K24" s="94">
        <v>23.3999938964844</v>
      </c>
      <c r="L24" s="94">
        <v>23.699996948242202</v>
      </c>
      <c r="M24" s="94">
        <v>23.830001831054702</v>
      </c>
      <c r="N24" s="94">
        <v>22.449415206909201</v>
      </c>
      <c r="O24" s="94">
        <v>5</v>
      </c>
      <c r="P24" s="94" t="s">
        <v>70</v>
      </c>
    </row>
    <row r="25" spans="1:16" x14ac:dyDescent="0.35">
      <c r="A25" s="94">
        <v>210</v>
      </c>
      <c r="B25" s="94" t="s">
        <v>710</v>
      </c>
      <c r="C25" s="94">
        <v>2.1599998474121098</v>
      </c>
      <c r="D25" s="94">
        <v>2.2399997711181601</v>
      </c>
      <c r="E25" s="94">
        <v>2.1500005722045898</v>
      </c>
      <c r="F25" s="94">
        <v>22.2141304016113</v>
      </c>
      <c r="G25" s="94">
        <v>108</v>
      </c>
      <c r="H25" s="94" t="s">
        <v>70</v>
      </c>
      <c r="I25" s="94">
        <v>210</v>
      </c>
      <c r="J25" s="94" t="s">
        <v>711</v>
      </c>
      <c r="K25" s="94">
        <v>31.050003051757798</v>
      </c>
      <c r="L25" s="94">
        <v>32.400009155273402</v>
      </c>
      <c r="M25" s="94">
        <v>32.080001831054702</v>
      </c>
      <c r="N25" s="94">
        <v>22.1026401519775</v>
      </c>
      <c r="O25" s="94">
        <v>1</v>
      </c>
      <c r="P25" s="94" t="s">
        <v>70</v>
      </c>
    </row>
    <row r="26" spans="1:16" x14ac:dyDescent="0.35">
      <c r="A26" s="94">
        <v>220</v>
      </c>
      <c r="B26" s="94" t="s">
        <v>712</v>
      </c>
      <c r="C26" s="94">
        <v>1.1499996185302701</v>
      </c>
      <c r="D26" s="94">
        <v>1.2200002670288099</v>
      </c>
      <c r="E26" s="94">
        <v>0</v>
      </c>
      <c r="F26" s="94">
        <v>22.279197692871101</v>
      </c>
      <c r="G26" s="94">
        <v>0</v>
      </c>
      <c r="H26" s="94" t="s">
        <v>70</v>
      </c>
      <c r="I26" s="94">
        <v>220</v>
      </c>
      <c r="J26" s="94" t="s">
        <v>713</v>
      </c>
      <c r="K26" s="94">
        <v>40.150009155273402</v>
      </c>
      <c r="L26" s="94">
        <v>41.5499877929688</v>
      </c>
      <c r="M26" s="94">
        <v>0</v>
      </c>
      <c r="N26" s="94">
        <v>22.5812664031982</v>
      </c>
      <c r="O26" s="94">
        <v>0</v>
      </c>
      <c r="P26" s="94" t="s">
        <v>70</v>
      </c>
    </row>
    <row r="27" spans="1:16" x14ac:dyDescent="0.35">
      <c r="A27" s="94">
        <v>230</v>
      </c>
      <c r="B27" s="94" t="s">
        <v>714</v>
      </c>
      <c r="C27" s="94">
        <v>0.62000000476837203</v>
      </c>
      <c r="D27" s="94">
        <v>0.74000000953674305</v>
      </c>
      <c r="E27" s="94">
        <v>0</v>
      </c>
      <c r="F27" s="94">
        <v>22.810546875</v>
      </c>
      <c r="G27" s="94">
        <v>0</v>
      </c>
      <c r="H27" s="94" t="s">
        <v>70</v>
      </c>
      <c r="I27" s="94">
        <v>230</v>
      </c>
      <c r="J27" s="94" t="s">
        <v>715</v>
      </c>
      <c r="K27" s="94">
        <v>49.400001525878899</v>
      </c>
      <c r="L27" s="94">
        <v>51.25</v>
      </c>
      <c r="M27" s="94">
        <v>0</v>
      </c>
      <c r="N27" s="94">
        <v>22.6811408996582</v>
      </c>
      <c r="O27" s="94">
        <v>0</v>
      </c>
      <c r="P27" s="94" t="s">
        <v>70</v>
      </c>
    </row>
    <row r="28" spans="1:16" x14ac:dyDescent="0.35">
      <c r="A28" s="94">
        <v>240</v>
      </c>
      <c r="B28" s="94" t="s">
        <v>716</v>
      </c>
      <c r="C28" s="94">
        <v>0.34000003337860102</v>
      </c>
      <c r="D28" s="94">
        <v>0.47000002861022899</v>
      </c>
      <c r="E28" s="94">
        <v>0</v>
      </c>
      <c r="F28" s="94">
        <v>23.468019485473601</v>
      </c>
      <c r="G28" s="94">
        <v>0</v>
      </c>
      <c r="H28" s="94" t="s">
        <v>70</v>
      </c>
      <c r="I28" s="94">
        <v>240</v>
      </c>
      <c r="J28" s="94" t="s">
        <v>717</v>
      </c>
      <c r="K28" s="94">
        <v>59.5</v>
      </c>
      <c r="L28" s="94">
        <v>60.949996948242202</v>
      </c>
      <c r="M28" s="94">
        <v>0</v>
      </c>
      <c r="N28" s="94">
        <v>24.908504486083999</v>
      </c>
      <c r="O28" s="94">
        <v>0</v>
      </c>
      <c r="P28" s="94" t="s">
        <v>70</v>
      </c>
    </row>
    <row r="29" spans="1:16" x14ac:dyDescent="0.35">
      <c r="A29" s="116"/>
      <c r="B29" s="116"/>
      <c r="C29" s="116"/>
      <c r="D29" s="116"/>
      <c r="E29" s="116"/>
      <c r="F29" s="116"/>
      <c r="G29" s="116"/>
      <c r="H29" s="116"/>
    </row>
  </sheetData>
  <mergeCells count="3">
    <mergeCell ref="A1:H1"/>
    <mergeCell ref="A3:H3"/>
    <mergeCell ref="A29:H2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6EB6C-ED13-9442-8F25-2C8091AAEC86}">
  <sheetPr codeName="Sheet14"/>
  <dimension ref="A1:P41"/>
  <sheetViews>
    <sheetView workbookViewId="0">
      <selection activeCell="I19" sqref="I19:M20"/>
    </sheetView>
  </sheetViews>
  <sheetFormatPr defaultColWidth="8.81640625" defaultRowHeight="14.5" x14ac:dyDescent="0.35"/>
  <cols>
    <col min="1" max="2" width="9.1796875" style="50" bestFit="1" customWidth="1"/>
    <col min="3" max="6" width="17" style="50" bestFit="1" customWidth="1"/>
    <col min="7" max="10" width="9.1796875" style="50" bestFit="1" customWidth="1"/>
    <col min="11" max="14" width="17" style="50" bestFit="1" customWidth="1"/>
    <col min="15" max="16" width="9.1796875" style="50" bestFit="1" customWidth="1"/>
  </cols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957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75</v>
      </c>
      <c r="B4" s="94" t="s">
        <v>718</v>
      </c>
      <c r="C4" s="94">
        <v>104.199996948242</v>
      </c>
      <c r="D4" s="94">
        <v>106.39999389648401</v>
      </c>
      <c r="E4" s="94">
        <v>0</v>
      </c>
      <c r="F4" s="94">
        <v>58.212493896484403</v>
      </c>
      <c r="G4" s="94">
        <v>0</v>
      </c>
      <c r="H4" s="94" t="s">
        <v>70</v>
      </c>
      <c r="I4" s="94">
        <v>75</v>
      </c>
      <c r="J4" s="94" t="s">
        <v>719</v>
      </c>
      <c r="K4" s="94">
        <v>0</v>
      </c>
      <c r="L4" s="94">
        <v>9.0000033378601102E-2</v>
      </c>
      <c r="M4" s="94">
        <v>0</v>
      </c>
      <c r="N4" s="94">
        <v>48.8952445983887</v>
      </c>
      <c r="O4" s="94">
        <v>0</v>
      </c>
      <c r="P4" s="94" t="s">
        <v>70</v>
      </c>
    </row>
    <row r="5" spans="1:16" x14ac:dyDescent="0.35">
      <c r="A5" s="94">
        <v>80</v>
      </c>
      <c r="B5" s="94" t="s">
        <v>720</v>
      </c>
      <c r="C5" s="94">
        <v>99.300003051757798</v>
      </c>
      <c r="D5" s="94">
        <v>101.449996948242</v>
      </c>
      <c r="E5" s="94">
        <v>0</v>
      </c>
      <c r="F5" s="94">
        <v>55.730056762695298</v>
      </c>
      <c r="G5" s="94">
        <v>0</v>
      </c>
      <c r="H5" s="94" t="s">
        <v>70</v>
      </c>
      <c r="I5" s="94">
        <v>80</v>
      </c>
      <c r="J5" s="94" t="s">
        <v>721</v>
      </c>
      <c r="K5" s="94">
        <v>1.00000016391277E-2</v>
      </c>
      <c r="L5" s="94">
        <v>0.110000014305115</v>
      </c>
      <c r="M5" s="94">
        <v>0</v>
      </c>
      <c r="N5" s="94">
        <v>43.479927062988303</v>
      </c>
      <c r="O5" s="94">
        <v>0</v>
      </c>
      <c r="P5" s="94" t="s">
        <v>70</v>
      </c>
    </row>
    <row r="6" spans="1:16" x14ac:dyDescent="0.35">
      <c r="A6" s="94">
        <v>85</v>
      </c>
      <c r="B6" s="94" t="s">
        <v>722</v>
      </c>
      <c r="C6" s="94">
        <v>94.25</v>
      </c>
      <c r="D6" s="94">
        <v>96.449996948242202</v>
      </c>
      <c r="E6" s="94">
        <v>0</v>
      </c>
      <c r="F6" s="94">
        <v>50.421497344970703</v>
      </c>
      <c r="G6" s="94">
        <v>0</v>
      </c>
      <c r="H6" s="94" t="s">
        <v>70</v>
      </c>
      <c r="I6" s="94">
        <v>85</v>
      </c>
      <c r="J6" s="94" t="s">
        <v>723</v>
      </c>
      <c r="K6" s="94">
        <v>3.9999999105930301E-2</v>
      </c>
      <c r="L6" s="94">
        <v>0.120000004768372</v>
      </c>
      <c r="M6" s="94">
        <v>0</v>
      </c>
      <c r="N6" s="94">
        <v>41.797630310058601</v>
      </c>
      <c r="O6" s="94">
        <v>0</v>
      </c>
      <c r="P6" s="94" t="s">
        <v>70</v>
      </c>
    </row>
    <row r="7" spans="1:16" x14ac:dyDescent="0.35">
      <c r="A7" s="94">
        <v>90</v>
      </c>
      <c r="B7" s="94" t="s">
        <v>724</v>
      </c>
      <c r="C7" s="94">
        <v>89.300003051757798</v>
      </c>
      <c r="D7" s="94">
        <v>91.5</v>
      </c>
      <c r="E7" s="94">
        <v>0</v>
      </c>
      <c r="F7" s="94">
        <v>47.503826141357401</v>
      </c>
      <c r="G7" s="94">
        <v>0</v>
      </c>
      <c r="H7" s="94" t="s">
        <v>70</v>
      </c>
      <c r="I7" s="94">
        <v>90</v>
      </c>
      <c r="J7" s="94" t="s">
        <v>725</v>
      </c>
      <c r="K7" s="94">
        <v>5.0000000745058101E-2</v>
      </c>
      <c r="L7" s="94">
        <v>0.150000035762787</v>
      </c>
      <c r="M7" s="94">
        <v>0</v>
      </c>
      <c r="N7" s="94">
        <v>39.909786224365199</v>
      </c>
      <c r="O7" s="94">
        <v>0</v>
      </c>
      <c r="P7" s="94" t="s">
        <v>70</v>
      </c>
    </row>
    <row r="8" spans="1:16" x14ac:dyDescent="0.35">
      <c r="A8" s="94">
        <v>95</v>
      </c>
      <c r="B8" s="94" t="s">
        <v>726</v>
      </c>
      <c r="C8" s="94">
        <v>84.25</v>
      </c>
      <c r="D8" s="94">
        <v>86.449996948242202</v>
      </c>
      <c r="E8" s="94">
        <v>0</v>
      </c>
      <c r="F8" s="94">
        <v>42.015773773193402</v>
      </c>
      <c r="G8" s="94">
        <v>0</v>
      </c>
      <c r="H8" s="94" t="s">
        <v>70</v>
      </c>
      <c r="I8" s="94">
        <v>95</v>
      </c>
      <c r="J8" s="94" t="s">
        <v>727</v>
      </c>
      <c r="K8" s="94">
        <v>7.9999983310699505E-2</v>
      </c>
      <c r="L8" s="94">
        <v>0.18000000715255701</v>
      </c>
      <c r="M8" s="94">
        <v>0</v>
      </c>
      <c r="N8" s="94">
        <v>38.3055419921875</v>
      </c>
      <c r="O8" s="94">
        <v>0</v>
      </c>
      <c r="P8" s="94" t="s">
        <v>70</v>
      </c>
    </row>
    <row r="9" spans="1:16" x14ac:dyDescent="0.35">
      <c r="A9" s="94">
        <v>100</v>
      </c>
      <c r="B9" s="94" t="s">
        <v>728</v>
      </c>
      <c r="C9" s="94">
        <v>79.300003051757798</v>
      </c>
      <c r="D9" s="94">
        <v>81.5</v>
      </c>
      <c r="E9" s="94">
        <v>0</v>
      </c>
      <c r="F9" s="94">
        <v>39.509048461914098</v>
      </c>
      <c r="G9" s="94">
        <v>0</v>
      </c>
      <c r="H9" s="94" t="s">
        <v>70</v>
      </c>
      <c r="I9" s="94">
        <v>100</v>
      </c>
      <c r="J9" s="94" t="s">
        <v>729</v>
      </c>
      <c r="K9" s="94">
        <v>0.120000004768372</v>
      </c>
      <c r="L9" s="94">
        <v>0.22000002861022899</v>
      </c>
      <c r="M9" s="94">
        <v>0.129999995231628</v>
      </c>
      <c r="N9" s="94">
        <v>36.807769775390597</v>
      </c>
      <c r="O9" s="94">
        <v>10</v>
      </c>
      <c r="P9" s="94" t="s">
        <v>70</v>
      </c>
    </row>
    <row r="10" spans="1:16" x14ac:dyDescent="0.35">
      <c r="A10" s="94">
        <v>105</v>
      </c>
      <c r="B10" s="94" t="s">
        <v>730</v>
      </c>
      <c r="C10" s="94">
        <v>74.599998474121094</v>
      </c>
      <c r="D10" s="94">
        <v>76.550003051757798</v>
      </c>
      <c r="E10" s="94">
        <v>0</v>
      </c>
      <c r="F10" s="94">
        <v>39.359607696533203</v>
      </c>
      <c r="G10" s="94">
        <v>0</v>
      </c>
      <c r="H10" s="94" t="s">
        <v>70</v>
      </c>
      <c r="I10" s="94">
        <v>105</v>
      </c>
      <c r="J10" s="94" t="s">
        <v>731</v>
      </c>
      <c r="K10" s="94">
        <v>0.17000001668930101</v>
      </c>
      <c r="L10" s="94">
        <v>0.28000003099441501</v>
      </c>
      <c r="M10" s="94">
        <v>0</v>
      </c>
      <c r="N10" s="94">
        <v>35.456089019775398</v>
      </c>
      <c r="O10" s="94">
        <v>0</v>
      </c>
      <c r="P10" s="94" t="s">
        <v>70</v>
      </c>
    </row>
    <row r="11" spans="1:16" x14ac:dyDescent="0.35">
      <c r="A11" s="94">
        <v>110</v>
      </c>
      <c r="B11" s="94" t="s">
        <v>732</v>
      </c>
      <c r="C11" s="94">
        <v>69.699996948242202</v>
      </c>
      <c r="D11" s="94">
        <v>71.600006103515597</v>
      </c>
      <c r="E11" s="94">
        <v>0</v>
      </c>
      <c r="F11" s="94">
        <v>36.889469146728501</v>
      </c>
      <c r="G11" s="94">
        <v>0</v>
      </c>
      <c r="H11" s="94" t="s">
        <v>70</v>
      </c>
      <c r="I11" s="94">
        <v>110</v>
      </c>
      <c r="J11" s="94" t="s">
        <v>733</v>
      </c>
      <c r="K11" s="94">
        <v>0.229999959468842</v>
      </c>
      <c r="L11" s="94">
        <v>0.36000001430511502</v>
      </c>
      <c r="M11" s="94">
        <v>0</v>
      </c>
      <c r="N11" s="94">
        <v>34.126987457275398</v>
      </c>
      <c r="O11" s="94">
        <v>0</v>
      </c>
      <c r="P11" s="94" t="s">
        <v>70</v>
      </c>
    </row>
    <row r="12" spans="1:16" x14ac:dyDescent="0.35">
      <c r="A12" s="94">
        <v>115</v>
      </c>
      <c r="B12" s="94" t="s">
        <v>734</v>
      </c>
      <c r="C12" s="94">
        <v>64.650001525878906</v>
      </c>
      <c r="D12" s="94">
        <v>66.75</v>
      </c>
      <c r="E12" s="94">
        <v>0</v>
      </c>
      <c r="F12" s="94">
        <v>34.060123443603501</v>
      </c>
      <c r="G12" s="94">
        <v>0</v>
      </c>
      <c r="H12" s="94" t="s">
        <v>70</v>
      </c>
      <c r="I12" s="94">
        <v>115</v>
      </c>
      <c r="J12" s="94" t="s">
        <v>735</v>
      </c>
      <c r="K12" s="94">
        <v>0.34000003337860102</v>
      </c>
      <c r="L12" s="94">
        <v>0.44999998807907099</v>
      </c>
      <c r="M12" s="94">
        <v>0.31999999284744302</v>
      </c>
      <c r="N12" s="94">
        <v>32.979801177978501</v>
      </c>
      <c r="O12" s="94">
        <v>19</v>
      </c>
      <c r="P12" s="94" t="s">
        <v>70</v>
      </c>
    </row>
    <row r="13" spans="1:16" x14ac:dyDescent="0.35">
      <c r="A13" s="94">
        <v>120</v>
      </c>
      <c r="B13" s="94" t="s">
        <v>736</v>
      </c>
      <c r="C13" s="94">
        <v>60.5</v>
      </c>
      <c r="D13" s="94">
        <v>61.25</v>
      </c>
      <c r="E13" s="94">
        <v>0</v>
      </c>
      <c r="F13" s="94">
        <v>32.819080352783203</v>
      </c>
      <c r="G13" s="94">
        <v>0</v>
      </c>
      <c r="H13" s="94" t="s">
        <v>70</v>
      </c>
      <c r="I13" s="94">
        <v>120</v>
      </c>
      <c r="J13" s="94" t="s">
        <v>737</v>
      </c>
      <c r="K13" s="94">
        <v>0.45999997854232799</v>
      </c>
      <c r="L13" s="94">
        <v>0.58999997377395597</v>
      </c>
      <c r="M13" s="94">
        <v>0.47000002861022899</v>
      </c>
      <c r="N13" s="94">
        <v>31.862979888916001</v>
      </c>
      <c r="O13" s="94">
        <v>30</v>
      </c>
      <c r="P13" s="94" t="s">
        <v>70</v>
      </c>
    </row>
    <row r="14" spans="1:16" x14ac:dyDescent="0.35">
      <c r="A14" s="94">
        <v>125</v>
      </c>
      <c r="B14" s="94" t="s">
        <v>738</v>
      </c>
      <c r="C14" s="94">
        <v>55.75</v>
      </c>
      <c r="D14" s="94">
        <v>56.449996948242202</v>
      </c>
      <c r="E14" s="94">
        <v>0</v>
      </c>
      <c r="F14" s="94">
        <v>31.7284832000732</v>
      </c>
      <c r="G14" s="94">
        <v>0</v>
      </c>
      <c r="H14" s="94" t="s">
        <v>70</v>
      </c>
      <c r="I14" s="94">
        <v>125</v>
      </c>
      <c r="J14" s="94" t="s">
        <v>739</v>
      </c>
      <c r="K14" s="94">
        <v>0.62999999523162797</v>
      </c>
      <c r="L14" s="94">
        <v>0.75999999046325695</v>
      </c>
      <c r="M14" s="94">
        <v>0.68999999761581399</v>
      </c>
      <c r="N14" s="94">
        <v>30.790470123291001</v>
      </c>
      <c r="O14" s="94">
        <v>4</v>
      </c>
      <c r="P14" s="94" t="s">
        <v>70</v>
      </c>
    </row>
    <row r="15" spans="1:16" x14ac:dyDescent="0.35">
      <c r="A15" s="94">
        <v>130</v>
      </c>
      <c r="B15" s="94" t="s">
        <v>740</v>
      </c>
      <c r="C15" s="94">
        <v>51</v>
      </c>
      <c r="D15" s="94">
        <v>51.649993896484403</v>
      </c>
      <c r="E15" s="94">
        <v>51</v>
      </c>
      <c r="F15" s="94">
        <v>30.291938781738299</v>
      </c>
      <c r="G15" s="94">
        <v>20</v>
      </c>
      <c r="H15" s="94" t="s">
        <v>70</v>
      </c>
      <c r="I15" s="94">
        <v>130</v>
      </c>
      <c r="J15" s="94" t="s">
        <v>741</v>
      </c>
      <c r="K15" s="94">
        <v>0.87999999523162797</v>
      </c>
      <c r="L15" s="94">
        <v>0.99000000953674305</v>
      </c>
      <c r="M15" s="94">
        <v>0.81000000238418601</v>
      </c>
      <c r="N15" s="94">
        <v>29.893369674682599</v>
      </c>
      <c r="O15" s="94">
        <v>36</v>
      </c>
      <c r="P15" s="94" t="s">
        <v>70</v>
      </c>
    </row>
    <row r="16" spans="1:16" x14ac:dyDescent="0.35">
      <c r="A16" s="94">
        <v>135</v>
      </c>
      <c r="B16" s="94" t="s">
        <v>742</v>
      </c>
      <c r="C16" s="94">
        <v>46.350006103515597</v>
      </c>
      <c r="D16" s="94">
        <v>46.949996948242202</v>
      </c>
      <c r="E16" s="94">
        <v>0</v>
      </c>
      <c r="F16" s="94">
        <v>29.225221633911101</v>
      </c>
      <c r="G16" s="94">
        <v>0</v>
      </c>
      <c r="H16" s="94" t="s">
        <v>70</v>
      </c>
      <c r="I16" s="94">
        <v>135</v>
      </c>
      <c r="J16" s="94" t="s">
        <v>743</v>
      </c>
      <c r="K16" s="94">
        <v>1.1900005340576201</v>
      </c>
      <c r="L16" s="94">
        <v>1.2799997329711901</v>
      </c>
      <c r="M16" s="94">
        <v>1.2399997711181601</v>
      </c>
      <c r="N16" s="94">
        <v>28.953432083129901</v>
      </c>
      <c r="O16" s="94">
        <v>274</v>
      </c>
      <c r="P16" s="94" t="s">
        <v>70</v>
      </c>
    </row>
    <row r="17" spans="1:16" x14ac:dyDescent="0.35">
      <c r="A17" s="94">
        <v>140</v>
      </c>
      <c r="B17" s="94" t="s">
        <v>744</v>
      </c>
      <c r="C17" s="94">
        <v>41.7999877929688</v>
      </c>
      <c r="D17" s="94">
        <v>42.349990844726598</v>
      </c>
      <c r="E17" s="94">
        <v>43.650009155273402</v>
      </c>
      <c r="F17" s="94">
        <v>28.2948513031006</v>
      </c>
      <c r="G17" s="94">
        <v>77</v>
      </c>
      <c r="H17" s="94" t="s">
        <v>70</v>
      </c>
      <c r="I17" s="94">
        <v>140</v>
      </c>
      <c r="J17" s="94" t="s">
        <v>745</v>
      </c>
      <c r="K17" s="94">
        <v>1.59000015258789</v>
      </c>
      <c r="L17" s="94">
        <v>1.6800003051757799</v>
      </c>
      <c r="M17" s="94">
        <v>1.55000019073486</v>
      </c>
      <c r="N17" s="94">
        <v>28.112190246581999</v>
      </c>
      <c r="O17" s="94">
        <v>38</v>
      </c>
      <c r="P17" s="94" t="s">
        <v>70</v>
      </c>
    </row>
    <row r="18" spans="1:16" x14ac:dyDescent="0.35">
      <c r="A18" s="94">
        <v>145</v>
      </c>
      <c r="B18" s="94" t="s">
        <v>746</v>
      </c>
      <c r="C18" s="94">
        <v>37.399993896484403</v>
      </c>
      <c r="D18" s="94">
        <v>37.900009155273402</v>
      </c>
      <c r="E18" s="94">
        <v>38.350006103515597</v>
      </c>
      <c r="F18" s="94">
        <v>27.5710124969482</v>
      </c>
      <c r="G18" s="94">
        <v>10</v>
      </c>
      <c r="H18" s="94" t="s">
        <v>70</v>
      </c>
      <c r="I18" s="94">
        <v>145</v>
      </c>
      <c r="J18" s="94" t="s">
        <v>747</v>
      </c>
      <c r="K18" s="94">
        <v>2.1199998855590798</v>
      </c>
      <c r="L18" s="94">
        <v>2.2200002670288099</v>
      </c>
      <c r="M18" s="94">
        <v>1.8599996566772501</v>
      </c>
      <c r="N18" s="94">
        <v>27.390233993530298</v>
      </c>
      <c r="O18" s="94">
        <v>53</v>
      </c>
      <c r="P18" s="94" t="s">
        <v>70</v>
      </c>
    </row>
    <row r="19" spans="1:16" x14ac:dyDescent="0.35">
      <c r="A19" s="94">
        <v>150</v>
      </c>
      <c r="B19" s="94" t="s">
        <v>748</v>
      </c>
      <c r="C19" s="94">
        <v>33.100006103515597</v>
      </c>
      <c r="D19" s="94">
        <v>33.550003051757798</v>
      </c>
      <c r="E19" s="94">
        <v>35.699996948242202</v>
      </c>
      <c r="F19" s="94">
        <v>26.715991973876999</v>
      </c>
      <c r="G19" s="94">
        <v>4</v>
      </c>
      <c r="H19" s="94" t="s">
        <v>70</v>
      </c>
      <c r="I19" s="94">
        <v>150</v>
      </c>
      <c r="J19" s="94" t="s">
        <v>749</v>
      </c>
      <c r="K19" s="94">
        <v>2.8000001907348602</v>
      </c>
      <c r="L19" s="94">
        <v>2.8599996566772501</v>
      </c>
      <c r="M19" s="94">
        <v>2.8500003814697301</v>
      </c>
      <c r="N19" s="94">
        <v>26.6265983581543</v>
      </c>
      <c r="O19" s="94">
        <v>71</v>
      </c>
      <c r="P19" s="94" t="s">
        <v>70</v>
      </c>
    </row>
    <row r="20" spans="1:16" x14ac:dyDescent="0.35">
      <c r="A20" s="94">
        <v>155</v>
      </c>
      <c r="B20" s="94" t="s">
        <v>750</v>
      </c>
      <c r="C20" s="94">
        <v>29</v>
      </c>
      <c r="D20" s="94">
        <v>29.449996948242202</v>
      </c>
      <c r="E20" s="94">
        <v>29.740005493164102</v>
      </c>
      <c r="F20" s="94">
        <v>26.083921432495099</v>
      </c>
      <c r="G20" s="94">
        <v>4</v>
      </c>
      <c r="H20" s="94" t="s">
        <v>70</v>
      </c>
      <c r="I20" s="94">
        <v>155</v>
      </c>
      <c r="J20" s="94" t="s">
        <v>751</v>
      </c>
      <c r="K20" s="94">
        <v>3.6499996185302699</v>
      </c>
      <c r="L20" s="94">
        <v>3.79999923706055</v>
      </c>
      <c r="M20" s="94">
        <v>3.7700004577636701</v>
      </c>
      <c r="N20" s="94">
        <v>26.084285736083999</v>
      </c>
      <c r="O20" s="94">
        <v>88</v>
      </c>
      <c r="P20" s="94" t="s">
        <v>70</v>
      </c>
    </row>
    <row r="21" spans="1:16" x14ac:dyDescent="0.35">
      <c r="A21" s="94">
        <v>160</v>
      </c>
      <c r="B21" s="94" t="s">
        <v>752</v>
      </c>
      <c r="C21" s="94">
        <v>25.1499938964844</v>
      </c>
      <c r="D21" s="94">
        <v>25.449996948242202</v>
      </c>
      <c r="E21" s="94">
        <v>25.2900085449219</v>
      </c>
      <c r="F21" s="94">
        <v>25.3886528015137</v>
      </c>
      <c r="G21" s="94">
        <v>186</v>
      </c>
      <c r="H21" s="94" t="s">
        <v>70</v>
      </c>
      <c r="I21" s="94">
        <v>160</v>
      </c>
      <c r="J21" s="94" t="s">
        <v>753</v>
      </c>
      <c r="K21" s="94">
        <v>4.6999998092651403</v>
      </c>
      <c r="L21" s="94">
        <v>4.8500003814697301</v>
      </c>
      <c r="M21" s="94">
        <v>4.5</v>
      </c>
      <c r="N21" s="94">
        <v>25.409507751464801</v>
      </c>
      <c r="O21" s="94">
        <v>68</v>
      </c>
      <c r="P21" s="94" t="s">
        <v>70</v>
      </c>
    </row>
    <row r="22" spans="1:16" x14ac:dyDescent="0.35">
      <c r="A22" s="94">
        <v>165</v>
      </c>
      <c r="B22" s="94" t="s">
        <v>754</v>
      </c>
      <c r="C22" s="94">
        <v>21.5499877929688</v>
      </c>
      <c r="D22" s="94">
        <v>21.7999877929688</v>
      </c>
      <c r="E22" s="94">
        <v>21.5599975585938</v>
      </c>
      <c r="F22" s="94">
        <v>24.877534866333001</v>
      </c>
      <c r="G22" s="94">
        <v>22</v>
      </c>
      <c r="H22" s="94" t="s">
        <v>70</v>
      </c>
      <c r="I22" s="94">
        <v>165</v>
      </c>
      <c r="J22" s="94" t="s">
        <v>755</v>
      </c>
      <c r="K22" s="94">
        <v>6.0500001907348597</v>
      </c>
      <c r="L22" s="94">
        <v>6.1500005722045898</v>
      </c>
      <c r="M22" s="94">
        <v>6.1100006103515598</v>
      </c>
      <c r="N22" s="94">
        <v>24.854667663574201</v>
      </c>
      <c r="O22" s="94">
        <v>139</v>
      </c>
      <c r="P22" s="94" t="s">
        <v>70</v>
      </c>
    </row>
    <row r="23" spans="1:16" x14ac:dyDescent="0.35">
      <c r="A23" s="94">
        <v>170</v>
      </c>
      <c r="B23" s="94" t="s">
        <v>756</v>
      </c>
      <c r="C23" s="94">
        <v>18.199996948242202</v>
      </c>
      <c r="D23" s="94">
        <v>18.449996948242202</v>
      </c>
      <c r="E23" s="94">
        <v>18.4700012207031</v>
      </c>
      <c r="F23" s="94">
        <v>24.3934230804443</v>
      </c>
      <c r="G23" s="94">
        <v>130</v>
      </c>
      <c r="H23" s="94" t="s">
        <v>70</v>
      </c>
      <c r="I23" s="94">
        <v>170</v>
      </c>
      <c r="J23" s="94" t="s">
        <v>757</v>
      </c>
      <c r="K23" s="94">
        <v>7.6500005722045898</v>
      </c>
      <c r="L23" s="94">
        <v>7.75</v>
      </c>
      <c r="M23" s="94">
        <v>7.6999998092651403</v>
      </c>
      <c r="N23" s="94">
        <v>24.3320922851563</v>
      </c>
      <c r="O23" s="94">
        <v>446</v>
      </c>
      <c r="P23" s="94" t="s">
        <v>70</v>
      </c>
    </row>
    <row r="24" spans="1:16" x14ac:dyDescent="0.35">
      <c r="A24" s="94">
        <v>175</v>
      </c>
      <c r="B24" s="94" t="s">
        <v>758</v>
      </c>
      <c r="C24" s="94">
        <v>15.1000003814697</v>
      </c>
      <c r="D24" s="94">
        <v>15.3500003814697</v>
      </c>
      <c r="E24" s="94">
        <v>15.3500003814697</v>
      </c>
      <c r="F24" s="94">
        <v>23.8373699188232</v>
      </c>
      <c r="G24" s="94">
        <v>281</v>
      </c>
      <c r="H24" s="94" t="s">
        <v>70</v>
      </c>
      <c r="I24" s="94">
        <v>175</v>
      </c>
      <c r="J24" s="94" t="s">
        <v>759</v>
      </c>
      <c r="K24" s="94">
        <v>9.5500001907348597</v>
      </c>
      <c r="L24" s="94">
        <v>9.6999998092651403</v>
      </c>
      <c r="M24" s="94">
        <v>9.5</v>
      </c>
      <c r="N24" s="94">
        <v>23.887556076049801</v>
      </c>
      <c r="O24" s="94">
        <v>192</v>
      </c>
      <c r="P24" s="94" t="s">
        <v>70</v>
      </c>
    </row>
    <row r="25" spans="1:16" x14ac:dyDescent="0.35">
      <c r="A25" s="94">
        <v>180</v>
      </c>
      <c r="B25" s="94" t="s">
        <v>760</v>
      </c>
      <c r="C25" s="94">
        <v>12.3999996185303</v>
      </c>
      <c r="D25" s="94">
        <v>12.6000003814697</v>
      </c>
      <c r="E25" s="94">
        <v>12.539999961853001</v>
      </c>
      <c r="F25" s="94">
        <v>23.426780700683601</v>
      </c>
      <c r="G25" s="94">
        <v>346</v>
      </c>
      <c r="H25" s="94" t="s">
        <v>70</v>
      </c>
      <c r="I25" s="94">
        <v>180</v>
      </c>
      <c r="J25" s="94" t="s">
        <v>761</v>
      </c>
      <c r="K25" s="94">
        <v>11.800000190734901</v>
      </c>
      <c r="L25" s="94">
        <v>11.949999809265099</v>
      </c>
      <c r="M25" s="94">
        <v>11.8699998855591</v>
      </c>
      <c r="N25" s="94">
        <v>23.477735519409201</v>
      </c>
      <c r="O25" s="94">
        <v>109</v>
      </c>
      <c r="P25" s="94" t="s">
        <v>70</v>
      </c>
    </row>
    <row r="26" spans="1:16" x14ac:dyDescent="0.35">
      <c r="A26" s="94">
        <v>185</v>
      </c>
      <c r="B26" s="94" t="s">
        <v>762</v>
      </c>
      <c r="C26" s="94">
        <v>10</v>
      </c>
      <c r="D26" s="94">
        <v>10.199999809265099</v>
      </c>
      <c r="E26" s="94">
        <v>10.060000419616699</v>
      </c>
      <c r="F26" s="94">
        <v>23.036972045898398</v>
      </c>
      <c r="G26" s="94">
        <v>383</v>
      </c>
      <c r="H26" s="94" t="s">
        <v>70</v>
      </c>
      <c r="I26" s="94">
        <v>185</v>
      </c>
      <c r="J26" s="94" t="s">
        <v>763</v>
      </c>
      <c r="K26" s="94">
        <v>14.3500003814697</v>
      </c>
      <c r="L26" s="94">
        <v>14.5</v>
      </c>
      <c r="M26" s="94">
        <v>12.680000305175801</v>
      </c>
      <c r="N26" s="94">
        <v>23.033554077148398</v>
      </c>
      <c r="O26" s="94">
        <v>2</v>
      </c>
      <c r="P26" s="94" t="s">
        <v>70</v>
      </c>
    </row>
    <row r="27" spans="1:16" x14ac:dyDescent="0.35">
      <c r="A27" s="94">
        <v>190</v>
      </c>
      <c r="B27" s="94" t="s">
        <v>764</v>
      </c>
      <c r="C27" s="94">
        <v>7.9499998092651403</v>
      </c>
      <c r="D27" s="94">
        <v>8.1000003814697301</v>
      </c>
      <c r="E27" s="94">
        <v>8</v>
      </c>
      <c r="F27" s="94">
        <v>22.66725730896</v>
      </c>
      <c r="G27" s="94">
        <v>1860</v>
      </c>
      <c r="H27" s="94" t="s">
        <v>70</v>
      </c>
      <c r="I27" s="94">
        <v>190</v>
      </c>
      <c r="J27" s="94" t="s">
        <v>765</v>
      </c>
      <c r="K27" s="94">
        <v>17.25</v>
      </c>
      <c r="L27" s="94">
        <v>17.449996948242202</v>
      </c>
      <c r="M27" s="94">
        <v>16.1499938964844</v>
      </c>
      <c r="N27" s="94">
        <v>22.692533493041999</v>
      </c>
      <c r="O27" s="94">
        <v>5</v>
      </c>
      <c r="P27" s="94" t="s">
        <v>70</v>
      </c>
    </row>
    <row r="28" spans="1:16" x14ac:dyDescent="0.35">
      <c r="A28" s="94">
        <v>195</v>
      </c>
      <c r="B28" s="94" t="s">
        <v>766</v>
      </c>
      <c r="C28" s="94">
        <v>6.25</v>
      </c>
      <c r="D28" s="94">
        <v>6.3500003814697301</v>
      </c>
      <c r="E28" s="94">
        <v>6.0799999237060502</v>
      </c>
      <c r="F28" s="94">
        <v>22.3893928527832</v>
      </c>
      <c r="G28" s="94">
        <v>609</v>
      </c>
      <c r="H28" s="94" t="s">
        <v>70</v>
      </c>
      <c r="I28" s="94">
        <v>195</v>
      </c>
      <c r="J28" s="94" t="s">
        <v>767</v>
      </c>
      <c r="K28" s="94">
        <v>20.3999938964844</v>
      </c>
      <c r="L28" s="94">
        <v>20.699996948242202</v>
      </c>
      <c r="M28" s="94">
        <v>18.509994506835898</v>
      </c>
      <c r="N28" s="94">
        <v>22.2748832702637</v>
      </c>
      <c r="O28" s="94">
        <v>2</v>
      </c>
      <c r="P28" s="94" t="s">
        <v>70</v>
      </c>
    </row>
    <row r="29" spans="1:16" x14ac:dyDescent="0.35">
      <c r="A29" s="94">
        <v>200</v>
      </c>
      <c r="B29" s="94" t="s">
        <v>768</v>
      </c>
      <c r="C29" s="94">
        <v>4.8000001907348597</v>
      </c>
      <c r="D29" s="94">
        <v>4.9499998092651403</v>
      </c>
      <c r="E29" s="94">
        <v>4.9200000762939498</v>
      </c>
      <c r="F29" s="94">
        <v>22.146675109863299</v>
      </c>
      <c r="G29" s="94">
        <v>180</v>
      </c>
      <c r="H29" s="94" t="s">
        <v>70</v>
      </c>
      <c r="I29" s="94">
        <v>200</v>
      </c>
      <c r="J29" s="94" t="s">
        <v>769</v>
      </c>
      <c r="K29" s="94">
        <v>24.050003051757798</v>
      </c>
      <c r="L29" s="94">
        <v>24.300003051757798</v>
      </c>
      <c r="M29" s="94">
        <v>24.1499938964844</v>
      </c>
      <c r="N29" s="94">
        <v>22.1358833312988</v>
      </c>
      <c r="O29" s="94">
        <v>20</v>
      </c>
      <c r="P29" s="94" t="s">
        <v>70</v>
      </c>
    </row>
    <row r="30" spans="1:16" x14ac:dyDescent="0.35">
      <c r="A30" s="94">
        <v>205</v>
      </c>
      <c r="B30" s="94" t="s">
        <v>770</v>
      </c>
      <c r="C30" s="94">
        <v>3.6500005722045898</v>
      </c>
      <c r="D30" s="94">
        <v>3.79999923706055</v>
      </c>
      <c r="E30" s="94">
        <v>4.1000003814697301</v>
      </c>
      <c r="F30" s="94">
        <v>21.949020385742202</v>
      </c>
      <c r="G30" s="94">
        <v>439</v>
      </c>
      <c r="H30" s="94" t="s">
        <v>70</v>
      </c>
      <c r="I30" s="94">
        <v>205</v>
      </c>
      <c r="J30" s="94" t="s">
        <v>771</v>
      </c>
      <c r="K30" s="94">
        <v>27.8999938964844</v>
      </c>
      <c r="L30" s="94">
        <v>28.3500061035156</v>
      </c>
      <c r="M30" s="94">
        <v>0</v>
      </c>
      <c r="N30" s="94">
        <v>22.162754058837901</v>
      </c>
      <c r="O30" s="94">
        <v>0</v>
      </c>
      <c r="P30" s="94" t="s">
        <v>70</v>
      </c>
    </row>
    <row r="31" spans="1:16" x14ac:dyDescent="0.35">
      <c r="A31" s="94">
        <v>210</v>
      </c>
      <c r="B31" s="94" t="s">
        <v>772</v>
      </c>
      <c r="C31" s="94">
        <v>2.7700004577636701</v>
      </c>
      <c r="D31" s="94">
        <v>2.8599996566772501</v>
      </c>
      <c r="E31" s="94">
        <v>2.8100004196167001</v>
      </c>
      <c r="F31" s="94">
        <v>21.794528961181602</v>
      </c>
      <c r="G31" s="94">
        <v>146</v>
      </c>
      <c r="H31" s="94" t="s">
        <v>70</v>
      </c>
      <c r="I31" s="94">
        <v>210</v>
      </c>
      <c r="J31" s="94" t="s">
        <v>773</v>
      </c>
      <c r="K31" s="94">
        <v>31.550003051757798</v>
      </c>
      <c r="L31" s="94">
        <v>32.699996948242202</v>
      </c>
      <c r="M31" s="94">
        <v>0</v>
      </c>
      <c r="N31" s="94">
        <v>21.7019367218018</v>
      </c>
      <c r="O31" s="94">
        <v>0</v>
      </c>
      <c r="P31" s="94" t="s">
        <v>70</v>
      </c>
    </row>
    <row r="32" spans="1:16" x14ac:dyDescent="0.35">
      <c r="A32" s="94">
        <v>215</v>
      </c>
      <c r="B32" s="94" t="s">
        <v>774</v>
      </c>
      <c r="C32" s="94">
        <v>2.07999992370606</v>
      </c>
      <c r="D32" s="94">
        <v>2.1599998474121098</v>
      </c>
      <c r="E32" s="94">
        <v>2.1400003433227499</v>
      </c>
      <c r="F32" s="94">
        <v>21.721084594726602</v>
      </c>
      <c r="G32" s="94">
        <v>178</v>
      </c>
      <c r="H32" s="94" t="s">
        <v>70</v>
      </c>
      <c r="I32" s="94">
        <v>215</v>
      </c>
      <c r="J32" s="94" t="s">
        <v>775</v>
      </c>
      <c r="K32" s="94">
        <v>35.699996948242202</v>
      </c>
      <c r="L32" s="94">
        <v>37.150009155273402</v>
      </c>
      <c r="M32" s="94">
        <v>0</v>
      </c>
      <c r="N32" s="94">
        <v>21.4709777832031</v>
      </c>
      <c r="O32" s="94">
        <v>0</v>
      </c>
      <c r="P32" s="94" t="s">
        <v>70</v>
      </c>
    </row>
    <row r="33" spans="1:16" x14ac:dyDescent="0.35">
      <c r="A33" s="94">
        <v>220</v>
      </c>
      <c r="B33" s="94" t="s">
        <v>776</v>
      </c>
      <c r="C33" s="94">
        <v>1.5600004196167001</v>
      </c>
      <c r="D33" s="94">
        <v>1.63000011444092</v>
      </c>
      <c r="E33" s="94">
        <v>0</v>
      </c>
      <c r="F33" s="94">
        <v>21.715333938598601</v>
      </c>
      <c r="G33" s="94">
        <v>0</v>
      </c>
      <c r="H33" s="94" t="s">
        <v>70</v>
      </c>
      <c r="I33" s="94">
        <v>220</v>
      </c>
      <c r="J33" s="94" t="s">
        <v>777</v>
      </c>
      <c r="K33" s="94">
        <v>40.25</v>
      </c>
      <c r="L33" s="94">
        <v>41.699996948242202</v>
      </c>
      <c r="M33" s="94">
        <v>0</v>
      </c>
      <c r="N33" s="94">
        <v>21.567850112915</v>
      </c>
      <c r="O33" s="94">
        <v>0</v>
      </c>
      <c r="P33" s="94" t="s">
        <v>70</v>
      </c>
    </row>
    <row r="34" spans="1:16" x14ac:dyDescent="0.35">
      <c r="A34" s="94">
        <v>225</v>
      </c>
      <c r="B34" s="94" t="s">
        <v>778</v>
      </c>
      <c r="C34" s="94">
        <v>1.17000007629395</v>
      </c>
      <c r="D34" s="94">
        <v>1.2399997711181601</v>
      </c>
      <c r="E34" s="94">
        <v>1.2700004577636701</v>
      </c>
      <c r="F34" s="94">
        <v>21.781110763549801</v>
      </c>
      <c r="G34" s="94">
        <v>10</v>
      </c>
      <c r="H34" s="94" t="s">
        <v>70</v>
      </c>
      <c r="I34" s="94">
        <v>225</v>
      </c>
      <c r="J34" s="94" t="s">
        <v>779</v>
      </c>
      <c r="K34" s="94">
        <v>41.949996948242202</v>
      </c>
      <c r="L34" s="94">
        <v>46.599990844726598</v>
      </c>
      <c r="M34" s="94">
        <v>0</v>
      </c>
      <c r="N34" s="94">
        <v>0</v>
      </c>
      <c r="O34" s="94">
        <v>0</v>
      </c>
      <c r="P34" s="94" t="s">
        <v>70</v>
      </c>
    </row>
    <row r="35" spans="1:16" x14ac:dyDescent="0.35">
      <c r="A35" s="94">
        <v>230</v>
      </c>
      <c r="B35" s="94" t="s">
        <v>780</v>
      </c>
      <c r="C35" s="94">
        <v>0.88999998569488503</v>
      </c>
      <c r="D35" s="94">
        <v>1</v>
      </c>
      <c r="E35" s="94">
        <v>1</v>
      </c>
      <c r="F35" s="94">
        <v>22.060459136962901</v>
      </c>
      <c r="G35" s="94">
        <v>3</v>
      </c>
      <c r="H35" s="94" t="s">
        <v>70</v>
      </c>
      <c r="I35" s="94">
        <v>230</v>
      </c>
      <c r="J35" s="94" t="s">
        <v>781</v>
      </c>
      <c r="K35" s="94">
        <v>49.450000762939503</v>
      </c>
      <c r="L35" s="94">
        <v>51.25</v>
      </c>
      <c r="M35" s="94">
        <v>0</v>
      </c>
      <c r="N35" s="94">
        <v>21.416015625</v>
      </c>
      <c r="O35" s="94">
        <v>0</v>
      </c>
      <c r="P35" s="94" t="s">
        <v>70</v>
      </c>
    </row>
    <row r="36" spans="1:16" x14ac:dyDescent="0.35">
      <c r="A36" s="94">
        <v>235</v>
      </c>
      <c r="B36" s="94" t="s">
        <v>782</v>
      </c>
      <c r="C36" s="94">
        <v>0.67000001668930098</v>
      </c>
      <c r="D36" s="94">
        <v>0.79000002145767201</v>
      </c>
      <c r="E36" s="94">
        <v>0</v>
      </c>
      <c r="F36" s="94">
        <v>22.257707595825199</v>
      </c>
      <c r="G36" s="94">
        <v>0</v>
      </c>
      <c r="H36" s="94" t="s">
        <v>70</v>
      </c>
      <c r="I36" s="94">
        <v>235</v>
      </c>
      <c r="J36" s="94" t="s">
        <v>783</v>
      </c>
      <c r="K36" s="94">
        <v>54.349998474121101</v>
      </c>
      <c r="L36" s="94">
        <v>56.350006103515597</v>
      </c>
      <c r="M36" s="94">
        <v>0</v>
      </c>
      <c r="N36" s="94">
        <v>22.992403030395501</v>
      </c>
      <c r="O36" s="94">
        <v>0</v>
      </c>
      <c r="P36" s="94" t="s">
        <v>70</v>
      </c>
    </row>
    <row r="37" spans="1:16" x14ac:dyDescent="0.35">
      <c r="A37" s="94">
        <v>240</v>
      </c>
      <c r="B37" s="94" t="s">
        <v>784</v>
      </c>
      <c r="C37" s="94">
        <v>0.519999980926514</v>
      </c>
      <c r="D37" s="94">
        <v>0.62000000476837203</v>
      </c>
      <c r="E37" s="94">
        <v>0</v>
      </c>
      <c r="F37" s="94">
        <v>22.4986763000488</v>
      </c>
      <c r="G37" s="94">
        <v>0</v>
      </c>
      <c r="H37" s="94" t="s">
        <v>70</v>
      </c>
      <c r="I37" s="94">
        <v>240</v>
      </c>
      <c r="J37" s="94" t="s">
        <v>785</v>
      </c>
      <c r="K37" s="94">
        <v>59.200000762939503</v>
      </c>
      <c r="L37" s="94">
        <v>61.050003051757798</v>
      </c>
      <c r="M37" s="94">
        <v>0</v>
      </c>
      <c r="N37" s="94">
        <v>0</v>
      </c>
      <c r="O37" s="94">
        <v>0</v>
      </c>
      <c r="P37" s="94" t="s">
        <v>70</v>
      </c>
    </row>
    <row r="38" spans="1:16" x14ac:dyDescent="0.35">
      <c r="A38" s="94">
        <v>245</v>
      </c>
      <c r="B38" s="94" t="s">
        <v>786</v>
      </c>
      <c r="C38" s="94">
        <v>0.38999998569488498</v>
      </c>
      <c r="D38" s="94">
        <v>0.46000003814697299</v>
      </c>
      <c r="E38" s="94">
        <v>0</v>
      </c>
      <c r="F38" s="94">
        <v>22.545608520507798</v>
      </c>
      <c r="G38" s="94">
        <v>0</v>
      </c>
      <c r="H38" s="94" t="s">
        <v>70</v>
      </c>
      <c r="I38" s="94">
        <v>245</v>
      </c>
      <c r="J38" s="94" t="s">
        <v>787</v>
      </c>
      <c r="K38" s="94">
        <v>64.099998474121094</v>
      </c>
      <c r="L38" s="94">
        <v>66</v>
      </c>
      <c r="M38" s="94">
        <v>0</v>
      </c>
      <c r="N38" s="94">
        <v>0</v>
      </c>
      <c r="O38" s="94">
        <v>0</v>
      </c>
      <c r="P38" s="94" t="s">
        <v>70</v>
      </c>
    </row>
    <row r="39" spans="1:16" x14ac:dyDescent="0.35">
      <c r="A39" s="94">
        <v>250</v>
      </c>
      <c r="B39" s="94" t="s">
        <v>788</v>
      </c>
      <c r="C39" s="94">
        <v>0.31000000238418601</v>
      </c>
      <c r="D39" s="94">
        <v>0.43000000715255698</v>
      </c>
      <c r="E39" s="94">
        <v>0.36000001430511502</v>
      </c>
      <c r="F39" s="94">
        <v>23.187520980835</v>
      </c>
      <c r="G39" s="94">
        <v>125</v>
      </c>
      <c r="H39" s="94" t="s">
        <v>70</v>
      </c>
      <c r="I39" s="94">
        <v>250</v>
      </c>
      <c r="J39" s="94" t="s">
        <v>789</v>
      </c>
      <c r="K39" s="94">
        <v>69.449996948242202</v>
      </c>
      <c r="L39" s="94">
        <v>70.949996948242202</v>
      </c>
      <c r="M39" s="94">
        <v>0</v>
      </c>
      <c r="N39" s="94">
        <v>25.913784027099599</v>
      </c>
      <c r="O39" s="94">
        <v>0</v>
      </c>
      <c r="P39" s="94" t="s">
        <v>70</v>
      </c>
    </row>
    <row r="40" spans="1:16" x14ac:dyDescent="0.35">
      <c r="A40" s="94">
        <v>260</v>
      </c>
      <c r="B40" s="94" t="s">
        <v>790</v>
      </c>
      <c r="C40" s="94">
        <v>0.19999998807907099</v>
      </c>
      <c r="D40" s="94">
        <v>0.33000004291534402</v>
      </c>
      <c r="E40" s="94">
        <v>0</v>
      </c>
      <c r="F40" s="94">
        <v>24.141654968261701</v>
      </c>
      <c r="G40" s="94">
        <v>0</v>
      </c>
      <c r="H40" s="94" t="s">
        <v>70</v>
      </c>
      <c r="I40" s="94">
        <v>260</v>
      </c>
      <c r="J40" s="94" t="s">
        <v>791</v>
      </c>
      <c r="K40" s="94">
        <v>78.949996948242202</v>
      </c>
      <c r="L40" s="94">
        <v>81.149993896484403</v>
      </c>
      <c r="M40" s="94">
        <v>0</v>
      </c>
      <c r="N40" s="94">
        <v>0</v>
      </c>
      <c r="O40" s="94">
        <v>0</v>
      </c>
      <c r="P40" s="94" t="s">
        <v>70</v>
      </c>
    </row>
    <row r="41" spans="1:16" x14ac:dyDescent="0.35">
      <c r="A41" s="116"/>
      <c r="B41" s="116"/>
      <c r="C41" s="116"/>
      <c r="D41" s="116"/>
      <c r="E41" s="116"/>
      <c r="F41" s="116"/>
      <c r="G41" s="116"/>
      <c r="H41" s="116"/>
    </row>
  </sheetData>
  <mergeCells count="3">
    <mergeCell ref="A1:H1"/>
    <mergeCell ref="A3:H3"/>
    <mergeCell ref="A41:H4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3492D-5046-1846-BDE8-8DEFA0C8379C}">
  <sheetPr codeName="Sheet2"/>
  <dimension ref="A1:P76"/>
  <sheetViews>
    <sheetView topLeftCell="A24" workbookViewId="0">
      <selection activeCell="I60" sqref="C60:I61"/>
    </sheetView>
  </sheetViews>
  <sheetFormatPr defaultColWidth="10.90625" defaultRowHeight="14.5" x14ac:dyDescent="0.35"/>
  <sheetData>
    <row r="1" spans="1:16" x14ac:dyDescent="0.35">
      <c r="A1" s="115" t="s">
        <v>216</v>
      </c>
      <c r="B1" s="115"/>
      <c r="C1" s="115"/>
      <c r="D1" s="115"/>
      <c r="E1" s="115"/>
      <c r="F1" s="115"/>
      <c r="G1" s="115"/>
      <c r="H1" s="115"/>
      <c r="I1" s="94"/>
      <c r="J1" s="94"/>
      <c r="K1" s="94"/>
      <c r="L1" s="94"/>
      <c r="M1" s="94"/>
      <c r="N1" s="94"/>
      <c r="O1" s="94"/>
      <c r="P1" s="94"/>
    </row>
    <row r="2" spans="1:16" x14ac:dyDescent="0.35">
      <c r="A2" s="94" t="s">
        <v>69</v>
      </c>
      <c r="B2" s="94" t="s">
        <v>215</v>
      </c>
      <c r="C2" s="94" t="s">
        <v>214</v>
      </c>
      <c r="D2" s="94" t="s">
        <v>213</v>
      </c>
      <c r="E2" s="94" t="s">
        <v>212</v>
      </c>
      <c r="F2" s="94" t="s">
        <v>211</v>
      </c>
      <c r="G2" s="94" t="s">
        <v>210</v>
      </c>
      <c r="H2" s="94" t="s">
        <v>209</v>
      </c>
      <c r="I2" s="94" t="s">
        <v>69</v>
      </c>
      <c r="J2" s="94" t="s">
        <v>215</v>
      </c>
      <c r="K2" s="94" t="s">
        <v>214</v>
      </c>
      <c r="L2" s="94" t="s">
        <v>213</v>
      </c>
      <c r="M2" s="94" t="s">
        <v>212</v>
      </c>
      <c r="N2" s="94" t="s">
        <v>211</v>
      </c>
      <c r="O2" s="94" t="s">
        <v>210</v>
      </c>
      <c r="P2" s="94" t="s">
        <v>209</v>
      </c>
    </row>
    <row r="3" spans="1:16" x14ac:dyDescent="0.35">
      <c r="A3" s="115" t="s">
        <v>958</v>
      </c>
      <c r="B3" s="115"/>
      <c r="C3" s="115"/>
      <c r="D3" s="115"/>
      <c r="E3" s="115"/>
      <c r="F3" s="115"/>
      <c r="G3" s="115"/>
      <c r="H3" s="115"/>
      <c r="I3" s="94"/>
      <c r="J3" s="94"/>
      <c r="K3" s="94"/>
      <c r="L3" s="94"/>
      <c r="M3" s="94"/>
      <c r="N3" s="94"/>
      <c r="O3" s="94"/>
      <c r="P3" s="94"/>
    </row>
    <row r="4" spans="1:16" x14ac:dyDescent="0.35">
      <c r="A4" s="94">
        <v>2.5</v>
      </c>
      <c r="B4" s="94" t="s">
        <v>792</v>
      </c>
      <c r="C4" s="94">
        <v>176.30000305175801</v>
      </c>
      <c r="D4" s="94">
        <v>178.60000610351599</v>
      </c>
      <c r="E4" s="94">
        <v>0</v>
      </c>
      <c r="F4" s="94">
        <v>339.69964599609398</v>
      </c>
      <c r="G4" s="94">
        <v>0</v>
      </c>
      <c r="H4" s="94" t="s">
        <v>70</v>
      </c>
      <c r="I4" s="94">
        <v>2.5</v>
      </c>
      <c r="J4" s="94" t="s">
        <v>793</v>
      </c>
      <c r="K4" s="94">
        <v>0</v>
      </c>
      <c r="L4" s="94">
        <v>1.9999999552965199E-2</v>
      </c>
      <c r="M4" s="94">
        <v>0</v>
      </c>
      <c r="N4" s="94">
        <v>193.84657287597699</v>
      </c>
      <c r="O4" s="94">
        <v>0</v>
      </c>
      <c r="P4" s="94" t="s">
        <v>70</v>
      </c>
    </row>
    <row r="5" spans="1:16" x14ac:dyDescent="0.35">
      <c r="A5" s="94">
        <v>5</v>
      </c>
      <c r="B5" s="94" t="s">
        <v>794</v>
      </c>
      <c r="C5" s="94">
        <v>173.85000610351599</v>
      </c>
      <c r="D5" s="94">
        <v>176.10000610351599</v>
      </c>
      <c r="E5" s="94">
        <v>0</v>
      </c>
      <c r="F5" s="94">
        <v>255.99258422851599</v>
      </c>
      <c r="G5" s="94">
        <v>0</v>
      </c>
      <c r="H5" s="94" t="s">
        <v>70</v>
      </c>
      <c r="I5" s="94">
        <v>5</v>
      </c>
      <c r="J5" s="94" t="s">
        <v>795</v>
      </c>
      <c r="K5" s="94">
        <v>0</v>
      </c>
      <c r="L5" s="94">
        <v>1.9999999552965199E-2</v>
      </c>
      <c r="M5" s="94">
        <v>0</v>
      </c>
      <c r="N5" s="94">
        <v>159.73085021972699</v>
      </c>
      <c r="O5" s="94">
        <v>0</v>
      </c>
      <c r="P5" s="94" t="s">
        <v>70</v>
      </c>
    </row>
    <row r="6" spans="1:16" x14ac:dyDescent="0.35">
      <c r="A6" s="94">
        <v>7.5</v>
      </c>
      <c r="B6" s="94" t="s">
        <v>796</v>
      </c>
      <c r="C6" s="94">
        <v>171.35000610351599</v>
      </c>
      <c r="D6" s="94">
        <v>173.60000610351599</v>
      </c>
      <c r="E6" s="94">
        <v>0</v>
      </c>
      <c r="F6" s="94">
        <v>213.53431701660199</v>
      </c>
      <c r="G6" s="94">
        <v>0</v>
      </c>
      <c r="H6" s="94" t="s">
        <v>70</v>
      </c>
      <c r="I6" s="94">
        <v>7.5</v>
      </c>
      <c r="J6" s="94" t="s">
        <v>797</v>
      </c>
      <c r="K6" s="94">
        <v>0</v>
      </c>
      <c r="L6" s="94">
        <v>1.9999999552965199E-2</v>
      </c>
      <c r="M6" s="94">
        <v>0</v>
      </c>
      <c r="N6" s="94">
        <v>140.46514892578099</v>
      </c>
      <c r="O6" s="94">
        <v>0</v>
      </c>
      <c r="P6" s="94" t="s">
        <v>70</v>
      </c>
    </row>
    <row r="7" spans="1:16" x14ac:dyDescent="0.35">
      <c r="A7" s="94">
        <v>10</v>
      </c>
      <c r="B7" s="94" t="s">
        <v>798</v>
      </c>
      <c r="C7" s="94">
        <v>168.85000610351599</v>
      </c>
      <c r="D7" s="94">
        <v>171.10000610351599</v>
      </c>
      <c r="E7" s="94">
        <v>0</v>
      </c>
      <c r="F7" s="94">
        <v>186.682373046875</v>
      </c>
      <c r="G7" s="94">
        <v>0</v>
      </c>
      <c r="H7" s="94" t="s">
        <v>70</v>
      </c>
      <c r="I7" s="94">
        <v>10</v>
      </c>
      <c r="J7" s="94" t="s">
        <v>799</v>
      </c>
      <c r="K7" s="94">
        <v>0</v>
      </c>
      <c r="L7" s="94">
        <v>1.9999999552965199E-2</v>
      </c>
      <c r="M7" s="94">
        <v>0</v>
      </c>
      <c r="N7" s="94">
        <v>127.10829925537099</v>
      </c>
      <c r="O7" s="94">
        <v>0</v>
      </c>
      <c r="P7" s="94" t="s">
        <v>70</v>
      </c>
    </row>
    <row r="8" spans="1:16" x14ac:dyDescent="0.35">
      <c r="A8" s="94">
        <v>12.5</v>
      </c>
      <c r="B8" s="94" t="s">
        <v>800</v>
      </c>
      <c r="C8" s="94">
        <v>166.39999389648401</v>
      </c>
      <c r="D8" s="94">
        <v>168.64999389648401</v>
      </c>
      <c r="E8" s="94">
        <v>0</v>
      </c>
      <c r="F8" s="94">
        <v>175.149658203125</v>
      </c>
      <c r="G8" s="94">
        <v>0</v>
      </c>
      <c r="H8" s="94" t="s">
        <v>70</v>
      </c>
      <c r="I8" s="94">
        <v>12.5</v>
      </c>
      <c r="J8" s="94" t="s">
        <v>801</v>
      </c>
      <c r="K8" s="94">
        <v>0</v>
      </c>
      <c r="L8" s="94">
        <v>1.9999999552965199E-2</v>
      </c>
      <c r="M8" s="94">
        <v>0</v>
      </c>
      <c r="N8" s="94">
        <v>116.906326293945</v>
      </c>
      <c r="O8" s="94">
        <v>0</v>
      </c>
      <c r="P8" s="94" t="s">
        <v>70</v>
      </c>
    </row>
    <row r="9" spans="1:16" x14ac:dyDescent="0.35">
      <c r="A9" s="94">
        <v>15</v>
      </c>
      <c r="B9" s="94" t="s">
        <v>802</v>
      </c>
      <c r="C9" s="94">
        <v>163.85000610351599</v>
      </c>
      <c r="D9" s="94">
        <v>166.14999389648401</v>
      </c>
      <c r="E9" s="94">
        <v>0</v>
      </c>
      <c r="F9" s="94">
        <v>156.10179138183599</v>
      </c>
      <c r="G9" s="94">
        <v>0</v>
      </c>
      <c r="H9" s="94" t="s">
        <v>70</v>
      </c>
      <c r="I9" s="94">
        <v>15</v>
      </c>
      <c r="J9" s="94" t="s">
        <v>803</v>
      </c>
      <c r="K9" s="94">
        <v>0</v>
      </c>
      <c r="L9" s="94">
        <v>1.9999999552965199E-2</v>
      </c>
      <c r="M9" s="94">
        <v>0</v>
      </c>
      <c r="N9" s="94">
        <v>108.687705993652</v>
      </c>
      <c r="O9" s="94">
        <v>0</v>
      </c>
      <c r="P9" s="94" t="s">
        <v>70</v>
      </c>
    </row>
    <row r="10" spans="1:16" x14ac:dyDescent="0.35">
      <c r="A10" s="94">
        <v>17.5</v>
      </c>
      <c r="B10" s="94" t="s">
        <v>804</v>
      </c>
      <c r="C10" s="94">
        <v>161.35000610351599</v>
      </c>
      <c r="D10" s="94">
        <v>163.64999389648401</v>
      </c>
      <c r="E10" s="94">
        <v>0</v>
      </c>
      <c r="F10" s="94">
        <v>143.45463562011699</v>
      </c>
      <c r="G10" s="94">
        <v>0</v>
      </c>
      <c r="H10" s="94" t="s">
        <v>70</v>
      </c>
      <c r="I10" s="94">
        <v>17.5</v>
      </c>
      <c r="J10" s="94" t="s">
        <v>805</v>
      </c>
      <c r="K10" s="94">
        <v>0</v>
      </c>
      <c r="L10" s="94">
        <v>1.9999999552965199E-2</v>
      </c>
      <c r="M10" s="94">
        <v>0</v>
      </c>
      <c r="N10" s="94">
        <v>101.799446105957</v>
      </c>
      <c r="O10" s="94">
        <v>0</v>
      </c>
      <c r="P10" s="94" t="s">
        <v>70</v>
      </c>
    </row>
    <row r="11" spans="1:16" x14ac:dyDescent="0.35">
      <c r="A11" s="94">
        <v>20</v>
      </c>
      <c r="B11" s="94" t="s">
        <v>806</v>
      </c>
      <c r="C11" s="94">
        <v>158.89999389648401</v>
      </c>
      <c r="D11" s="94">
        <v>161.14999389648401</v>
      </c>
      <c r="E11" s="94">
        <v>0</v>
      </c>
      <c r="F11" s="94">
        <v>136.20919799804699</v>
      </c>
      <c r="G11" s="94">
        <v>0</v>
      </c>
      <c r="H11" s="94" t="s">
        <v>70</v>
      </c>
      <c r="I11" s="94">
        <v>20</v>
      </c>
      <c r="J11" s="94" t="s">
        <v>807</v>
      </c>
      <c r="K11" s="94">
        <v>0</v>
      </c>
      <c r="L11" s="94">
        <v>1.9999999552965199E-2</v>
      </c>
      <c r="M11" s="94">
        <v>0</v>
      </c>
      <c r="N11" s="94">
        <v>95.884193420410199</v>
      </c>
      <c r="O11" s="94">
        <v>0</v>
      </c>
      <c r="P11" s="94" t="s">
        <v>70</v>
      </c>
    </row>
    <row r="12" spans="1:16" x14ac:dyDescent="0.35">
      <c r="A12" s="94">
        <v>22.5</v>
      </c>
      <c r="B12" s="94" t="s">
        <v>808</v>
      </c>
      <c r="C12" s="94">
        <v>156.39999389648401</v>
      </c>
      <c r="D12" s="94">
        <v>158.64999389648401</v>
      </c>
      <c r="E12" s="94">
        <v>0</v>
      </c>
      <c r="F12" s="94">
        <v>126.88304901123099</v>
      </c>
      <c r="G12" s="94">
        <v>0</v>
      </c>
      <c r="H12" s="94" t="s">
        <v>70</v>
      </c>
      <c r="I12" s="94">
        <v>22.5</v>
      </c>
      <c r="J12" s="94" t="s">
        <v>809</v>
      </c>
      <c r="K12" s="94">
        <v>0</v>
      </c>
      <c r="L12" s="94">
        <v>1.9999999552965199E-2</v>
      </c>
      <c r="M12" s="94">
        <v>0</v>
      </c>
      <c r="N12" s="94">
        <v>90.703186035156307</v>
      </c>
      <c r="O12" s="94">
        <v>0</v>
      </c>
      <c r="P12" s="94" t="s">
        <v>70</v>
      </c>
    </row>
    <row r="13" spans="1:16" x14ac:dyDescent="0.35">
      <c r="A13" s="94">
        <v>25</v>
      </c>
      <c r="B13" s="94" t="s">
        <v>810</v>
      </c>
      <c r="C13" s="94">
        <v>153.94999694824199</v>
      </c>
      <c r="D13" s="94">
        <v>156.19999694824199</v>
      </c>
      <c r="E13" s="94">
        <v>0</v>
      </c>
      <c r="F13" s="94">
        <v>123.93539428710901</v>
      </c>
      <c r="G13" s="94">
        <v>0</v>
      </c>
      <c r="H13" s="94" t="s">
        <v>70</v>
      </c>
      <c r="I13" s="94">
        <v>25</v>
      </c>
      <c r="J13" s="94" t="s">
        <v>811</v>
      </c>
      <c r="K13" s="94">
        <v>0</v>
      </c>
      <c r="L13" s="94">
        <v>1.9999999552965199E-2</v>
      </c>
      <c r="M13" s="94">
        <v>0</v>
      </c>
      <c r="N13" s="94">
        <v>86.094276428222699</v>
      </c>
      <c r="O13" s="94">
        <v>0</v>
      </c>
      <c r="P13" s="94" t="s">
        <v>70</v>
      </c>
    </row>
    <row r="14" spans="1:16" x14ac:dyDescent="0.35">
      <c r="A14" s="94">
        <v>30</v>
      </c>
      <c r="B14" s="94" t="s">
        <v>812</v>
      </c>
      <c r="C14" s="94">
        <v>148.89999389648401</v>
      </c>
      <c r="D14" s="94">
        <v>151.19999694824199</v>
      </c>
      <c r="E14" s="94">
        <v>0</v>
      </c>
      <c r="F14" s="94">
        <v>107.506546020508</v>
      </c>
      <c r="G14" s="94">
        <v>0</v>
      </c>
      <c r="H14" s="94" t="s">
        <v>70</v>
      </c>
      <c r="I14" s="94">
        <v>30</v>
      </c>
      <c r="J14" s="94" t="s">
        <v>813</v>
      </c>
      <c r="K14" s="94">
        <v>0</v>
      </c>
      <c r="L14" s="94">
        <v>1.9999999552965199E-2</v>
      </c>
      <c r="M14" s="94">
        <v>0</v>
      </c>
      <c r="N14" s="94">
        <v>78.176849365234403</v>
      </c>
      <c r="O14" s="94">
        <v>0</v>
      </c>
      <c r="P14" s="94" t="s">
        <v>70</v>
      </c>
    </row>
    <row r="15" spans="1:16" x14ac:dyDescent="0.35">
      <c r="A15" s="94">
        <v>35</v>
      </c>
      <c r="B15" s="94" t="s">
        <v>814</v>
      </c>
      <c r="C15" s="94">
        <v>143.94999694824199</v>
      </c>
      <c r="D15" s="94">
        <v>146.19999694824199</v>
      </c>
      <c r="E15" s="94">
        <v>0</v>
      </c>
      <c r="F15" s="94">
        <v>98.277793884277301</v>
      </c>
      <c r="G15" s="94">
        <v>0</v>
      </c>
      <c r="H15" s="94" t="s">
        <v>70</v>
      </c>
      <c r="I15" s="94">
        <v>35</v>
      </c>
      <c r="J15" s="94" t="s">
        <v>815</v>
      </c>
      <c r="K15" s="94">
        <v>0</v>
      </c>
      <c r="L15" s="94">
        <v>1.9999999552965199E-2</v>
      </c>
      <c r="M15" s="94">
        <v>0</v>
      </c>
      <c r="N15" s="94">
        <v>71.532661437988295</v>
      </c>
      <c r="O15" s="94">
        <v>0</v>
      </c>
      <c r="P15" s="94" t="s">
        <v>70</v>
      </c>
    </row>
    <row r="16" spans="1:16" x14ac:dyDescent="0.35">
      <c r="A16" s="94">
        <v>40</v>
      </c>
      <c r="B16" s="94" t="s">
        <v>816</v>
      </c>
      <c r="C16" s="94">
        <v>138.94999694824199</v>
      </c>
      <c r="D16" s="94">
        <v>141.25</v>
      </c>
      <c r="E16" s="94">
        <v>0</v>
      </c>
      <c r="F16" s="94">
        <v>90.394989013671903</v>
      </c>
      <c r="G16" s="94">
        <v>0</v>
      </c>
      <c r="H16" s="94" t="s">
        <v>70</v>
      </c>
      <c r="I16" s="94">
        <v>40</v>
      </c>
      <c r="J16" s="94" t="s">
        <v>817</v>
      </c>
      <c r="K16" s="94">
        <v>1.00000016391277E-2</v>
      </c>
      <c r="L16" s="94">
        <v>1.9999999552965199E-2</v>
      </c>
      <c r="M16" s="94">
        <v>1.9999999552965199E-2</v>
      </c>
      <c r="N16" s="94">
        <v>64.165176391601605</v>
      </c>
      <c r="O16" s="94">
        <v>300</v>
      </c>
      <c r="P16" s="94" t="s">
        <v>70</v>
      </c>
    </row>
    <row r="17" spans="1:16" x14ac:dyDescent="0.35">
      <c r="A17" s="94">
        <v>45</v>
      </c>
      <c r="B17" s="94" t="s">
        <v>818</v>
      </c>
      <c r="C17" s="94">
        <v>134</v>
      </c>
      <c r="D17" s="94">
        <v>136.25</v>
      </c>
      <c r="E17" s="94">
        <v>0</v>
      </c>
      <c r="F17" s="94">
        <v>83.515251159667997</v>
      </c>
      <c r="G17" s="94">
        <v>0</v>
      </c>
      <c r="H17" s="94" t="s">
        <v>70</v>
      </c>
      <c r="I17" s="94">
        <v>45</v>
      </c>
      <c r="J17" s="94" t="s">
        <v>819</v>
      </c>
      <c r="K17" s="94">
        <v>0</v>
      </c>
      <c r="L17" s="94">
        <v>1.9999999552965199E-2</v>
      </c>
      <c r="M17" s="94">
        <v>0</v>
      </c>
      <c r="N17" s="94">
        <v>60.788654327392599</v>
      </c>
      <c r="O17" s="94">
        <v>0</v>
      </c>
      <c r="P17" s="94" t="s">
        <v>70</v>
      </c>
    </row>
    <row r="18" spans="1:16" x14ac:dyDescent="0.35">
      <c r="A18" s="94">
        <v>50</v>
      </c>
      <c r="B18" s="94" t="s">
        <v>820</v>
      </c>
      <c r="C18" s="94">
        <v>129</v>
      </c>
      <c r="D18" s="94">
        <v>131.30000305175801</v>
      </c>
      <c r="E18" s="94">
        <v>0</v>
      </c>
      <c r="F18" s="94">
        <v>77.395057678222699</v>
      </c>
      <c r="G18" s="94">
        <v>0</v>
      </c>
      <c r="H18" s="94" t="s">
        <v>70</v>
      </c>
      <c r="I18" s="94">
        <v>50</v>
      </c>
      <c r="J18" s="94" t="s">
        <v>821</v>
      </c>
      <c r="K18" s="94">
        <v>0</v>
      </c>
      <c r="L18" s="94">
        <v>3.0000001192092899E-2</v>
      </c>
      <c r="M18" s="94">
        <v>0</v>
      </c>
      <c r="N18" s="94">
        <v>58.480319976806598</v>
      </c>
      <c r="O18" s="94">
        <v>0</v>
      </c>
      <c r="P18" s="94" t="s">
        <v>70</v>
      </c>
    </row>
    <row r="19" spans="1:16" x14ac:dyDescent="0.35">
      <c r="A19" s="94">
        <v>55</v>
      </c>
      <c r="B19" s="94" t="s">
        <v>822</v>
      </c>
      <c r="C19" s="94">
        <v>124.050003051758</v>
      </c>
      <c r="D19" s="94">
        <v>126.300003051758</v>
      </c>
      <c r="E19" s="94">
        <v>0</v>
      </c>
      <c r="F19" s="94">
        <v>71.875076293945298</v>
      </c>
      <c r="G19" s="94">
        <v>0</v>
      </c>
      <c r="H19" s="94" t="s">
        <v>70</v>
      </c>
      <c r="I19" s="94">
        <v>55</v>
      </c>
      <c r="J19" s="94" t="s">
        <v>823</v>
      </c>
      <c r="K19" s="94">
        <v>0</v>
      </c>
      <c r="L19" s="94">
        <v>3.9999999105930301E-2</v>
      </c>
      <c r="M19" s="94">
        <v>0</v>
      </c>
      <c r="N19" s="94">
        <v>55.849422454833999</v>
      </c>
      <c r="O19" s="94">
        <v>0</v>
      </c>
      <c r="P19" s="94" t="s">
        <v>70</v>
      </c>
    </row>
    <row r="20" spans="1:16" x14ac:dyDescent="0.35">
      <c r="A20" s="94">
        <v>60</v>
      </c>
      <c r="B20" s="94" t="s">
        <v>824</v>
      </c>
      <c r="C20" s="94">
        <v>119.050003051758</v>
      </c>
      <c r="D20" s="94">
        <v>121.349990844727</v>
      </c>
      <c r="E20" s="94">
        <v>0</v>
      </c>
      <c r="F20" s="94">
        <v>66.846138000488295</v>
      </c>
      <c r="G20" s="94">
        <v>0</v>
      </c>
      <c r="H20" s="94" t="s">
        <v>70</v>
      </c>
      <c r="I20" s="94">
        <v>60</v>
      </c>
      <c r="J20" s="94" t="s">
        <v>825</v>
      </c>
      <c r="K20" s="94">
        <v>0</v>
      </c>
      <c r="L20" s="94">
        <v>5.9999998658895499E-2</v>
      </c>
      <c r="M20" s="94">
        <v>0</v>
      </c>
      <c r="N20" s="94">
        <v>54.174442291259801</v>
      </c>
      <c r="O20" s="94">
        <v>0</v>
      </c>
      <c r="P20" s="94" t="s">
        <v>70</v>
      </c>
    </row>
    <row r="21" spans="1:16" x14ac:dyDescent="0.35">
      <c r="A21" s="94">
        <v>65</v>
      </c>
      <c r="B21" s="94" t="s">
        <v>826</v>
      </c>
      <c r="C21" s="94">
        <v>114.09999847412099</v>
      </c>
      <c r="D21" s="94">
        <v>116.349990844727</v>
      </c>
      <c r="E21" s="94">
        <v>0</v>
      </c>
      <c r="F21" s="94">
        <v>62.2172241210938</v>
      </c>
      <c r="G21" s="94">
        <v>0</v>
      </c>
      <c r="H21" s="94" t="s">
        <v>70</v>
      </c>
      <c r="I21" s="94">
        <v>65</v>
      </c>
      <c r="J21" s="94" t="s">
        <v>827</v>
      </c>
      <c r="K21" s="94">
        <v>0</v>
      </c>
      <c r="L21" s="94">
        <v>7.9999983310699505E-2</v>
      </c>
      <c r="M21" s="94">
        <v>0</v>
      </c>
      <c r="N21" s="94">
        <v>52.0651664733887</v>
      </c>
      <c r="O21" s="94">
        <v>0</v>
      </c>
      <c r="P21" s="94" t="s">
        <v>70</v>
      </c>
    </row>
    <row r="22" spans="1:16" x14ac:dyDescent="0.35">
      <c r="A22" s="94">
        <v>70</v>
      </c>
      <c r="B22" s="94" t="s">
        <v>828</v>
      </c>
      <c r="C22" s="94">
        <v>109.09999847412099</v>
      </c>
      <c r="D22" s="94">
        <v>111.39999389648401</v>
      </c>
      <c r="E22" s="94">
        <v>0</v>
      </c>
      <c r="F22" s="94">
        <v>57.930694580078097</v>
      </c>
      <c r="G22" s="94">
        <v>0</v>
      </c>
      <c r="H22" s="94" t="s">
        <v>70</v>
      </c>
      <c r="I22" s="94">
        <v>70</v>
      </c>
      <c r="J22" s="94" t="s">
        <v>829</v>
      </c>
      <c r="K22" s="94">
        <v>0</v>
      </c>
      <c r="L22" s="94">
        <v>0.110000014305115</v>
      </c>
      <c r="M22" s="94">
        <v>0</v>
      </c>
      <c r="N22" s="94">
        <v>50.3486137390137</v>
      </c>
      <c r="O22" s="94">
        <v>0</v>
      </c>
      <c r="P22" s="94" t="s">
        <v>70</v>
      </c>
    </row>
    <row r="23" spans="1:16" x14ac:dyDescent="0.35">
      <c r="A23" s="94">
        <v>75</v>
      </c>
      <c r="B23" s="94" t="s">
        <v>830</v>
      </c>
      <c r="C23" s="94">
        <v>104.15000152587901</v>
      </c>
      <c r="D23" s="94">
        <v>106.39999389648401</v>
      </c>
      <c r="E23" s="94">
        <v>0</v>
      </c>
      <c r="F23" s="94">
        <v>53.922721862792997</v>
      </c>
      <c r="G23" s="94">
        <v>0</v>
      </c>
      <c r="H23" s="94" t="s">
        <v>70</v>
      </c>
      <c r="I23" s="94">
        <v>75</v>
      </c>
      <c r="J23" s="94" t="s">
        <v>831</v>
      </c>
      <c r="K23" s="94">
        <v>9.9999979138374294E-3</v>
      </c>
      <c r="L23" s="94">
        <v>0.120000004768372</v>
      </c>
      <c r="M23" s="94">
        <v>0</v>
      </c>
      <c r="N23" s="94">
        <v>44.133663177490199</v>
      </c>
      <c r="O23" s="94">
        <v>0</v>
      </c>
      <c r="P23" s="94" t="s">
        <v>70</v>
      </c>
    </row>
    <row r="24" spans="1:16" x14ac:dyDescent="0.35">
      <c r="A24" s="94">
        <v>80</v>
      </c>
      <c r="B24" s="94" t="s">
        <v>832</v>
      </c>
      <c r="C24" s="94">
        <v>99.199996948242202</v>
      </c>
      <c r="D24" s="94">
        <v>101.449996948242</v>
      </c>
      <c r="E24" s="94">
        <v>0</v>
      </c>
      <c r="F24" s="94">
        <v>50.939731597900398</v>
      </c>
      <c r="G24" s="94">
        <v>0</v>
      </c>
      <c r="H24" s="94" t="s">
        <v>70</v>
      </c>
      <c r="I24" s="94">
        <v>80</v>
      </c>
      <c r="J24" s="94" t="s">
        <v>833</v>
      </c>
      <c r="K24" s="94">
        <v>2.9999997466802601E-2</v>
      </c>
      <c r="L24" s="94">
        <v>0.129999995231628</v>
      </c>
      <c r="M24" s="94">
        <v>0</v>
      </c>
      <c r="N24" s="94">
        <v>42.077915191650398</v>
      </c>
      <c r="O24" s="94">
        <v>0</v>
      </c>
      <c r="P24" s="94" t="s">
        <v>70</v>
      </c>
    </row>
    <row r="25" spans="1:16" x14ac:dyDescent="0.35">
      <c r="A25" s="94">
        <v>85</v>
      </c>
      <c r="B25" s="94" t="s">
        <v>834</v>
      </c>
      <c r="C25" s="94">
        <v>94.25</v>
      </c>
      <c r="D25" s="94">
        <v>96.5</v>
      </c>
      <c r="E25" s="94">
        <v>0</v>
      </c>
      <c r="F25" s="94">
        <v>47.981365203857401</v>
      </c>
      <c r="G25" s="94">
        <v>0</v>
      </c>
      <c r="H25" s="94" t="s">
        <v>70</v>
      </c>
      <c r="I25" s="94">
        <v>85</v>
      </c>
      <c r="J25" s="94" t="s">
        <v>835</v>
      </c>
      <c r="K25" s="94">
        <v>5.0000000745058101E-2</v>
      </c>
      <c r="L25" s="94">
        <v>0.14999997615814201</v>
      </c>
      <c r="M25" s="94">
        <v>0</v>
      </c>
      <c r="N25" s="94">
        <v>40.217464447021499</v>
      </c>
      <c r="O25" s="94">
        <v>0</v>
      </c>
      <c r="P25" s="94" t="s">
        <v>70</v>
      </c>
    </row>
    <row r="26" spans="1:16" x14ac:dyDescent="0.35">
      <c r="A26" s="94">
        <v>90</v>
      </c>
      <c r="B26" s="94" t="s">
        <v>836</v>
      </c>
      <c r="C26" s="94">
        <v>89.25</v>
      </c>
      <c r="D26" s="94">
        <v>91.550003051757798</v>
      </c>
      <c r="E26" s="94">
        <v>0</v>
      </c>
      <c r="F26" s="94">
        <v>44.490024566650398</v>
      </c>
      <c r="G26" s="94">
        <v>0</v>
      </c>
      <c r="H26" s="94" t="s">
        <v>70</v>
      </c>
      <c r="I26" s="94">
        <v>90</v>
      </c>
      <c r="J26" s="94" t="s">
        <v>837</v>
      </c>
      <c r="K26" s="94">
        <v>7.9999983310699505E-2</v>
      </c>
      <c r="L26" s="94">
        <v>0.18000000715255701</v>
      </c>
      <c r="M26" s="94">
        <v>0</v>
      </c>
      <c r="N26" s="94">
        <v>38.6478462219238</v>
      </c>
      <c r="O26" s="94">
        <v>0</v>
      </c>
      <c r="P26" s="94" t="s">
        <v>70</v>
      </c>
    </row>
    <row r="27" spans="1:16" x14ac:dyDescent="0.35">
      <c r="A27" s="94">
        <v>95</v>
      </c>
      <c r="B27" s="94" t="s">
        <v>838</v>
      </c>
      <c r="C27" s="94">
        <v>84.300003051757798</v>
      </c>
      <c r="D27" s="94">
        <v>86.550003051757798</v>
      </c>
      <c r="E27" s="94">
        <v>0</v>
      </c>
      <c r="F27" s="94">
        <v>41.162223815917997</v>
      </c>
      <c r="G27" s="94">
        <v>0</v>
      </c>
      <c r="H27" s="94" t="s">
        <v>70</v>
      </c>
      <c r="I27" s="94">
        <v>95</v>
      </c>
      <c r="J27" s="94" t="s">
        <v>839</v>
      </c>
      <c r="K27" s="94">
        <v>0.119999945163727</v>
      </c>
      <c r="L27" s="94">
        <v>0.22000002861022899</v>
      </c>
      <c r="M27" s="94">
        <v>0</v>
      </c>
      <c r="N27" s="94">
        <v>37.203269958496101</v>
      </c>
      <c r="O27" s="94">
        <v>0</v>
      </c>
      <c r="P27" s="94" t="s">
        <v>70</v>
      </c>
    </row>
    <row r="28" spans="1:16" x14ac:dyDescent="0.35">
      <c r="A28" s="94">
        <v>100</v>
      </c>
      <c r="B28" s="94" t="s">
        <v>840</v>
      </c>
      <c r="C28" s="94">
        <v>79.300003051757798</v>
      </c>
      <c r="D28" s="94">
        <v>81.550003051757798</v>
      </c>
      <c r="E28" s="94">
        <v>0</v>
      </c>
      <c r="F28" s="94">
        <v>37.441093444824197</v>
      </c>
      <c r="G28" s="94">
        <v>0</v>
      </c>
      <c r="H28" s="94" t="s">
        <v>70</v>
      </c>
      <c r="I28" s="94">
        <v>100</v>
      </c>
      <c r="J28" s="94" t="s">
        <v>841</v>
      </c>
      <c r="K28" s="94">
        <v>0.17000001668930101</v>
      </c>
      <c r="L28" s="94">
        <v>0.28000003099441501</v>
      </c>
      <c r="M28" s="94">
        <v>0</v>
      </c>
      <c r="N28" s="94">
        <v>35.904811859130902</v>
      </c>
      <c r="O28" s="94">
        <v>0</v>
      </c>
      <c r="P28" s="94" t="s">
        <v>70</v>
      </c>
    </row>
    <row r="29" spans="1:16" x14ac:dyDescent="0.35">
      <c r="A29" s="94">
        <v>105</v>
      </c>
      <c r="B29" s="94" t="s">
        <v>842</v>
      </c>
      <c r="C29" s="94">
        <v>74.599998474121094</v>
      </c>
      <c r="D29" s="94">
        <v>76.600006103515597</v>
      </c>
      <c r="E29" s="94">
        <v>0</v>
      </c>
      <c r="F29" s="94">
        <v>37.004035949707003</v>
      </c>
      <c r="G29" s="94">
        <v>0</v>
      </c>
      <c r="H29" s="94" t="s">
        <v>70</v>
      </c>
      <c r="I29" s="94">
        <v>105</v>
      </c>
      <c r="J29" s="94" t="s">
        <v>843</v>
      </c>
      <c r="K29" s="94">
        <v>0.229999959468842</v>
      </c>
      <c r="L29" s="94">
        <v>0.30000001192092901</v>
      </c>
      <c r="M29" s="94">
        <v>0.29000002145767201</v>
      </c>
      <c r="N29" s="94">
        <v>34.065959930419901</v>
      </c>
      <c r="O29" s="94">
        <v>20</v>
      </c>
      <c r="P29" s="94" t="s">
        <v>70</v>
      </c>
    </row>
    <row r="30" spans="1:16" x14ac:dyDescent="0.35">
      <c r="A30" s="94">
        <v>110</v>
      </c>
      <c r="B30" s="94" t="s">
        <v>844</v>
      </c>
      <c r="C30" s="94">
        <v>69.550003051757798</v>
      </c>
      <c r="D30" s="94">
        <v>71.699996948242202</v>
      </c>
      <c r="E30" s="94">
        <v>0</v>
      </c>
      <c r="F30" s="94">
        <v>33.886528015136697</v>
      </c>
      <c r="G30" s="94">
        <v>0</v>
      </c>
      <c r="H30" s="94" t="s">
        <v>70</v>
      </c>
      <c r="I30" s="94">
        <v>110</v>
      </c>
      <c r="J30" s="94" t="s">
        <v>845</v>
      </c>
      <c r="K30" s="94">
        <v>0.31999999284744302</v>
      </c>
      <c r="L30" s="94">
        <v>0.44999998807907099</v>
      </c>
      <c r="M30" s="94">
        <v>0</v>
      </c>
      <c r="N30" s="94">
        <v>33.416748046875</v>
      </c>
      <c r="O30" s="94">
        <v>0</v>
      </c>
      <c r="P30" s="94" t="s">
        <v>70</v>
      </c>
    </row>
    <row r="31" spans="1:16" x14ac:dyDescent="0.35">
      <c r="A31" s="94">
        <v>115</v>
      </c>
      <c r="B31" s="94" t="s">
        <v>846</v>
      </c>
      <c r="C31" s="94">
        <v>64.699996948242202</v>
      </c>
      <c r="D31" s="94">
        <v>66.849990844726605</v>
      </c>
      <c r="E31" s="94">
        <v>0</v>
      </c>
      <c r="F31" s="94">
        <v>32.488777160644503</v>
      </c>
      <c r="G31" s="94">
        <v>0</v>
      </c>
      <c r="H31" s="94" t="s">
        <v>70</v>
      </c>
      <c r="I31" s="94">
        <v>115</v>
      </c>
      <c r="J31" s="94" t="s">
        <v>847</v>
      </c>
      <c r="K31" s="94">
        <v>0.43999999761581399</v>
      </c>
      <c r="L31" s="94">
        <v>0.58999997377395597</v>
      </c>
      <c r="M31" s="94">
        <v>0</v>
      </c>
      <c r="N31" s="94">
        <v>32.413780212402301</v>
      </c>
      <c r="O31" s="94">
        <v>0</v>
      </c>
      <c r="P31" s="94" t="s">
        <v>70</v>
      </c>
    </row>
    <row r="32" spans="1:16" x14ac:dyDescent="0.35">
      <c r="A32" s="94">
        <v>120</v>
      </c>
      <c r="B32" s="94" t="s">
        <v>848</v>
      </c>
      <c r="C32" s="94">
        <v>60.850006103515597</v>
      </c>
      <c r="D32" s="94">
        <v>62.0499877929688</v>
      </c>
      <c r="E32" s="94">
        <v>0</v>
      </c>
      <c r="F32" s="94">
        <v>35.159580230712898</v>
      </c>
      <c r="G32" s="94">
        <v>0</v>
      </c>
      <c r="H32" s="94" t="s">
        <v>70</v>
      </c>
      <c r="I32" s="94">
        <v>120</v>
      </c>
      <c r="J32" s="94" t="s">
        <v>849</v>
      </c>
      <c r="K32" s="94">
        <v>0.58999997377395597</v>
      </c>
      <c r="L32" s="94">
        <v>0.75</v>
      </c>
      <c r="M32" s="94">
        <v>0</v>
      </c>
      <c r="N32" s="94">
        <v>31.320972442626999</v>
      </c>
      <c r="O32" s="94">
        <v>0</v>
      </c>
      <c r="P32" s="94" t="s">
        <v>70</v>
      </c>
    </row>
    <row r="33" spans="1:16" x14ac:dyDescent="0.35">
      <c r="A33" s="94">
        <v>125</v>
      </c>
      <c r="B33" s="94" t="s">
        <v>850</v>
      </c>
      <c r="C33" s="94">
        <v>54.949996948242202</v>
      </c>
      <c r="D33" s="94">
        <v>57.25</v>
      </c>
      <c r="E33" s="94">
        <v>0</v>
      </c>
      <c r="F33" s="94">
        <v>29.318544387817401</v>
      </c>
      <c r="G33" s="94">
        <v>0</v>
      </c>
      <c r="H33" s="94" t="s">
        <v>70</v>
      </c>
      <c r="I33" s="94">
        <v>125</v>
      </c>
      <c r="J33" s="94" t="s">
        <v>851</v>
      </c>
      <c r="K33" s="94">
        <v>0.77999997138977095</v>
      </c>
      <c r="L33" s="94">
        <v>0.95999997854232799</v>
      </c>
      <c r="M33" s="94">
        <v>0</v>
      </c>
      <c r="N33" s="94">
        <v>30.281614303588899</v>
      </c>
      <c r="O33" s="94">
        <v>0</v>
      </c>
      <c r="P33" s="94" t="s">
        <v>70</v>
      </c>
    </row>
    <row r="34" spans="1:16" x14ac:dyDescent="0.35">
      <c r="A34" s="94">
        <v>130</v>
      </c>
      <c r="B34" s="94" t="s">
        <v>852</v>
      </c>
      <c r="C34" s="94">
        <v>50.850006103515597</v>
      </c>
      <c r="D34" s="94">
        <v>52.649993896484403</v>
      </c>
      <c r="E34" s="94">
        <v>0</v>
      </c>
      <c r="F34" s="94">
        <v>30.577751159668001</v>
      </c>
      <c r="G34" s="94">
        <v>0</v>
      </c>
      <c r="H34" s="94" t="s">
        <v>70</v>
      </c>
      <c r="I34" s="94">
        <v>130</v>
      </c>
      <c r="J34" s="94" t="s">
        <v>853</v>
      </c>
      <c r="K34" s="94">
        <v>1.1000003814697299</v>
      </c>
      <c r="L34" s="94">
        <v>1.2300004959106501</v>
      </c>
      <c r="M34" s="94">
        <v>0.980000019073486</v>
      </c>
      <c r="N34" s="94">
        <v>29.5221061706543</v>
      </c>
      <c r="O34" s="94">
        <v>16</v>
      </c>
      <c r="P34" s="94" t="s">
        <v>70</v>
      </c>
    </row>
    <row r="35" spans="1:16" x14ac:dyDescent="0.35">
      <c r="A35" s="94">
        <v>135</v>
      </c>
      <c r="B35" s="94" t="s">
        <v>854</v>
      </c>
      <c r="C35" s="94">
        <v>46.150009155273402</v>
      </c>
      <c r="D35" s="94">
        <v>47.949996948242202</v>
      </c>
      <c r="E35" s="94">
        <v>0</v>
      </c>
      <c r="F35" s="94">
        <v>29.005611419677699</v>
      </c>
      <c r="G35" s="94">
        <v>0</v>
      </c>
      <c r="H35" s="94" t="s">
        <v>70</v>
      </c>
      <c r="I35" s="94">
        <v>135</v>
      </c>
      <c r="J35" s="94" t="s">
        <v>855</v>
      </c>
      <c r="K35" s="94">
        <v>1.46000003814697</v>
      </c>
      <c r="L35" s="94">
        <v>1.5699996948242201</v>
      </c>
      <c r="M35" s="94">
        <v>1.40999984741211</v>
      </c>
      <c r="N35" s="94">
        <v>28.645196914672901</v>
      </c>
      <c r="O35" s="94">
        <v>8</v>
      </c>
      <c r="P35" s="94" t="s">
        <v>70</v>
      </c>
    </row>
    <row r="36" spans="1:16" x14ac:dyDescent="0.35">
      <c r="A36" s="94">
        <v>140</v>
      </c>
      <c r="B36" s="94" t="s">
        <v>856</v>
      </c>
      <c r="C36" s="94">
        <v>41.650009155273402</v>
      </c>
      <c r="D36" s="94">
        <v>43.399993896484403</v>
      </c>
      <c r="E36" s="94">
        <v>0</v>
      </c>
      <c r="F36" s="94">
        <v>27.971157073974599</v>
      </c>
      <c r="G36" s="94">
        <v>0</v>
      </c>
      <c r="H36" s="94" t="s">
        <v>70</v>
      </c>
      <c r="I36" s="94">
        <v>140</v>
      </c>
      <c r="J36" s="94" t="s">
        <v>857</v>
      </c>
      <c r="K36" s="94">
        <v>1.8599996566772501</v>
      </c>
      <c r="L36" s="94">
        <v>2.0600004196167001</v>
      </c>
      <c r="M36" s="94">
        <v>0</v>
      </c>
      <c r="N36" s="94">
        <v>27.809078216552699</v>
      </c>
      <c r="O36" s="94">
        <v>0</v>
      </c>
      <c r="P36" s="94" t="s">
        <v>70</v>
      </c>
    </row>
    <row r="37" spans="1:16" x14ac:dyDescent="0.35">
      <c r="A37" s="94">
        <v>145</v>
      </c>
      <c r="B37" s="94" t="s">
        <v>858</v>
      </c>
      <c r="C37" s="94">
        <v>37.5</v>
      </c>
      <c r="D37" s="94">
        <v>38.949996948242202</v>
      </c>
      <c r="E37" s="94">
        <v>0</v>
      </c>
      <c r="F37" s="94">
        <v>27.415584564208999</v>
      </c>
      <c r="G37" s="94">
        <v>0</v>
      </c>
      <c r="H37" s="94" t="s">
        <v>70</v>
      </c>
      <c r="I37" s="94">
        <v>145</v>
      </c>
      <c r="J37" s="94" t="s">
        <v>859</v>
      </c>
      <c r="K37" s="94">
        <v>2.4800004959106499</v>
      </c>
      <c r="L37" s="94">
        <v>2.6400003433227499</v>
      </c>
      <c r="M37" s="94">
        <v>2.1400003433227499</v>
      </c>
      <c r="N37" s="94">
        <v>27.146694183349599</v>
      </c>
      <c r="O37" s="94">
        <v>18</v>
      </c>
      <c r="P37" s="94" t="s">
        <v>70</v>
      </c>
    </row>
    <row r="38" spans="1:16" x14ac:dyDescent="0.35">
      <c r="A38" s="94">
        <v>150</v>
      </c>
      <c r="B38" s="94" t="s">
        <v>860</v>
      </c>
      <c r="C38" s="94">
        <v>33.350006103515597</v>
      </c>
      <c r="D38" s="94">
        <v>34.699996948242202</v>
      </c>
      <c r="E38" s="94">
        <v>0</v>
      </c>
      <c r="F38" s="94">
        <v>26.711381912231399</v>
      </c>
      <c r="G38" s="94">
        <v>0</v>
      </c>
      <c r="H38" s="94" t="s">
        <v>70</v>
      </c>
      <c r="I38" s="94">
        <v>150</v>
      </c>
      <c r="J38" s="94" t="s">
        <v>861</v>
      </c>
      <c r="K38" s="94">
        <v>3.1999998092651398</v>
      </c>
      <c r="L38" s="94">
        <v>3.3999996185302699</v>
      </c>
      <c r="M38" s="94">
        <v>3.1999998092651398</v>
      </c>
      <c r="N38" s="94">
        <v>26.480104446411101</v>
      </c>
      <c r="O38" s="94">
        <v>20</v>
      </c>
      <c r="P38" s="94" t="s">
        <v>70</v>
      </c>
    </row>
    <row r="39" spans="1:16" x14ac:dyDescent="0.35">
      <c r="A39" s="94">
        <v>155</v>
      </c>
      <c r="B39" s="94" t="s">
        <v>862</v>
      </c>
      <c r="C39" s="94">
        <v>29.6499938964844</v>
      </c>
      <c r="D39" s="94">
        <v>30.199996948242202</v>
      </c>
      <c r="E39" s="94">
        <v>30.199996948242202</v>
      </c>
      <c r="F39" s="94">
        <v>25.855001449585</v>
      </c>
      <c r="G39" s="94">
        <v>3</v>
      </c>
      <c r="H39" s="94" t="s">
        <v>70</v>
      </c>
      <c r="I39" s="94">
        <v>155</v>
      </c>
      <c r="J39" s="94" t="s">
        <v>863</v>
      </c>
      <c r="K39" s="94">
        <v>4.0999994277954102</v>
      </c>
      <c r="L39" s="94">
        <v>4.3499994277954102</v>
      </c>
      <c r="M39" s="94">
        <v>0</v>
      </c>
      <c r="N39" s="94">
        <v>25.8688564300537</v>
      </c>
      <c r="O39" s="94">
        <v>0</v>
      </c>
      <c r="P39" s="94" t="s">
        <v>70</v>
      </c>
    </row>
    <row r="40" spans="1:16" x14ac:dyDescent="0.35">
      <c r="A40" s="94">
        <v>160</v>
      </c>
      <c r="B40" s="94" t="s">
        <v>864</v>
      </c>
      <c r="C40" s="94">
        <v>25.8999938964844</v>
      </c>
      <c r="D40" s="94">
        <v>26.3999938964844</v>
      </c>
      <c r="E40" s="94">
        <v>26.1499938964844</v>
      </c>
      <c r="F40" s="94">
        <v>25.369907379150401</v>
      </c>
      <c r="G40" s="94">
        <v>4</v>
      </c>
      <c r="H40" s="94" t="s">
        <v>70</v>
      </c>
      <c r="I40" s="94">
        <v>160</v>
      </c>
      <c r="J40" s="94" t="s">
        <v>865</v>
      </c>
      <c r="K40" s="94">
        <v>5.25</v>
      </c>
      <c r="L40" s="94">
        <v>5.4499998092651403</v>
      </c>
      <c r="M40" s="94">
        <v>5.4200000762939498</v>
      </c>
      <c r="N40" s="94">
        <v>25.273063659668001</v>
      </c>
      <c r="O40" s="94">
        <v>93</v>
      </c>
      <c r="P40" s="94" t="s">
        <v>70</v>
      </c>
    </row>
    <row r="41" spans="1:16" x14ac:dyDescent="0.35">
      <c r="A41" s="94">
        <v>165</v>
      </c>
      <c r="B41" s="94" t="s">
        <v>866</v>
      </c>
      <c r="C41" s="94">
        <v>22.349990844726602</v>
      </c>
      <c r="D41" s="94">
        <v>23</v>
      </c>
      <c r="E41" s="94">
        <v>24.8500061035156</v>
      </c>
      <c r="F41" s="94">
        <v>25.0450954437256</v>
      </c>
      <c r="G41" s="94">
        <v>15</v>
      </c>
      <c r="H41" s="94" t="s">
        <v>70</v>
      </c>
      <c r="I41" s="94">
        <v>165</v>
      </c>
      <c r="J41" s="94" t="s">
        <v>867</v>
      </c>
      <c r="K41" s="94">
        <v>6.6000003814697301</v>
      </c>
      <c r="L41" s="94">
        <v>6.8000001907348597</v>
      </c>
      <c r="M41" s="94">
        <v>6.6999998092651403</v>
      </c>
      <c r="N41" s="94">
        <v>24.6891899108887</v>
      </c>
      <c r="O41" s="94">
        <v>64</v>
      </c>
      <c r="P41" s="94" t="s">
        <v>70</v>
      </c>
    </row>
    <row r="42" spans="1:16" x14ac:dyDescent="0.35">
      <c r="A42" s="94">
        <v>170</v>
      </c>
      <c r="B42" s="94" t="s">
        <v>868</v>
      </c>
      <c r="C42" s="94">
        <v>19.050003051757798</v>
      </c>
      <c r="D42" s="94">
        <v>19.3500061035156</v>
      </c>
      <c r="E42" s="94">
        <v>19.9700012207031</v>
      </c>
      <c r="F42" s="94">
        <v>24.212451934814499</v>
      </c>
      <c r="G42" s="94">
        <v>41</v>
      </c>
      <c r="H42" s="94" t="s">
        <v>70</v>
      </c>
      <c r="I42" s="94">
        <v>170</v>
      </c>
      <c r="J42" s="94" t="s">
        <v>869</v>
      </c>
      <c r="K42" s="94">
        <v>8.3000001907348597</v>
      </c>
      <c r="L42" s="94">
        <v>8.4499998092651403</v>
      </c>
      <c r="M42" s="94">
        <v>8.4899997711181605</v>
      </c>
      <c r="N42" s="94">
        <v>24.2642498016357</v>
      </c>
      <c r="O42" s="94">
        <v>37</v>
      </c>
      <c r="P42" s="94" t="s">
        <v>70</v>
      </c>
    </row>
    <row r="43" spans="1:16" x14ac:dyDescent="0.35">
      <c r="A43" s="94">
        <v>175</v>
      </c>
      <c r="B43" s="94" t="s">
        <v>870</v>
      </c>
      <c r="C43" s="94">
        <v>16</v>
      </c>
      <c r="D43" s="94">
        <v>16.300003051757798</v>
      </c>
      <c r="E43" s="94">
        <v>16.210006713867202</v>
      </c>
      <c r="F43" s="94">
        <v>23.720588684081999</v>
      </c>
      <c r="G43" s="94">
        <v>264</v>
      </c>
      <c r="H43" s="94" t="s">
        <v>70</v>
      </c>
      <c r="I43" s="94">
        <v>175</v>
      </c>
      <c r="J43" s="94" t="s">
        <v>871</v>
      </c>
      <c r="K43" s="94">
        <v>10.1499996185303</v>
      </c>
      <c r="L43" s="94">
        <v>10.3999996185303</v>
      </c>
      <c r="M43" s="94">
        <v>10.1000003814697</v>
      </c>
      <c r="N43" s="94">
        <v>23.745470046997099</v>
      </c>
      <c r="O43" s="94">
        <v>81</v>
      </c>
      <c r="P43" s="94" t="s">
        <v>70</v>
      </c>
    </row>
    <row r="44" spans="1:16" x14ac:dyDescent="0.35">
      <c r="A44" s="94">
        <v>180</v>
      </c>
      <c r="B44" s="94" t="s">
        <v>872</v>
      </c>
      <c r="C44" s="94">
        <v>13.3500003814697</v>
      </c>
      <c r="D44" s="94">
        <v>13.6000003814697</v>
      </c>
      <c r="E44" s="94">
        <v>13.560000419616699</v>
      </c>
      <c r="F44" s="94">
        <v>23.400310516357401</v>
      </c>
      <c r="G44" s="94">
        <v>111</v>
      </c>
      <c r="H44" s="94" t="s">
        <v>70</v>
      </c>
      <c r="I44" s="94">
        <v>180</v>
      </c>
      <c r="J44" s="94" t="s">
        <v>873</v>
      </c>
      <c r="K44" s="94">
        <v>12.449999809265099</v>
      </c>
      <c r="L44" s="94">
        <v>12.6499996185303</v>
      </c>
      <c r="M44" s="94">
        <v>12.550000190734901</v>
      </c>
      <c r="N44" s="94">
        <v>23.388626098632798</v>
      </c>
      <c r="O44" s="94">
        <v>10</v>
      </c>
      <c r="P44" s="94" t="s">
        <v>70</v>
      </c>
    </row>
    <row r="45" spans="1:16" x14ac:dyDescent="0.35">
      <c r="A45" s="94">
        <v>185</v>
      </c>
      <c r="B45" s="94" t="s">
        <v>874</v>
      </c>
      <c r="C45" s="94">
        <v>10.8999996185303</v>
      </c>
      <c r="D45" s="94">
        <v>11.1499996185303</v>
      </c>
      <c r="E45" s="94">
        <v>11.210000038146999</v>
      </c>
      <c r="F45" s="94">
        <v>22.958765029907202</v>
      </c>
      <c r="G45" s="94">
        <v>28</v>
      </c>
      <c r="H45" s="94" t="s">
        <v>70</v>
      </c>
      <c r="I45" s="94">
        <v>185</v>
      </c>
      <c r="J45" s="94" t="s">
        <v>875</v>
      </c>
      <c r="K45" s="94">
        <v>15</v>
      </c>
      <c r="L45" s="94">
        <v>15.25</v>
      </c>
      <c r="M45" s="94">
        <v>15.050000190734901</v>
      </c>
      <c r="N45" s="94">
        <v>23.027805328369102</v>
      </c>
      <c r="O45" s="94">
        <v>18</v>
      </c>
      <c r="P45" s="94" t="s">
        <v>70</v>
      </c>
    </row>
    <row r="46" spans="1:16" x14ac:dyDescent="0.35">
      <c r="A46" s="94">
        <v>190</v>
      </c>
      <c r="B46" s="94" t="s">
        <v>876</v>
      </c>
      <c r="C46" s="94">
        <v>8.8500003814697301</v>
      </c>
      <c r="D46" s="94">
        <v>9.1000003814697301</v>
      </c>
      <c r="E46" s="94">
        <v>8.8699998855590803</v>
      </c>
      <c r="F46" s="94">
        <v>22.713563919067401</v>
      </c>
      <c r="G46" s="94">
        <v>26</v>
      </c>
      <c r="H46" s="94" t="s">
        <v>70</v>
      </c>
      <c r="I46" s="94">
        <v>190</v>
      </c>
      <c r="J46" s="94" t="s">
        <v>877</v>
      </c>
      <c r="K46" s="94">
        <v>17.8500061035156</v>
      </c>
      <c r="L46" s="94">
        <v>18.1499938964844</v>
      </c>
      <c r="M46" s="94">
        <v>17.949996948242202</v>
      </c>
      <c r="N46" s="94">
        <v>22.671045303344702</v>
      </c>
      <c r="O46" s="94">
        <v>54</v>
      </c>
      <c r="P46" s="94" t="s">
        <v>70</v>
      </c>
    </row>
    <row r="47" spans="1:16" x14ac:dyDescent="0.35">
      <c r="A47" s="94">
        <v>195</v>
      </c>
      <c r="B47" s="94" t="s">
        <v>878</v>
      </c>
      <c r="C47" s="94">
        <v>7.0500001907348597</v>
      </c>
      <c r="D47" s="94">
        <v>7.3000001907348597</v>
      </c>
      <c r="E47" s="94">
        <v>7.21000003814697</v>
      </c>
      <c r="F47" s="94">
        <v>22.407924652099599</v>
      </c>
      <c r="G47" s="94">
        <v>32</v>
      </c>
      <c r="H47" s="94" t="s">
        <v>70</v>
      </c>
      <c r="I47" s="94">
        <v>195</v>
      </c>
      <c r="J47" s="94" t="s">
        <v>879</v>
      </c>
      <c r="K47" s="94">
        <v>21</v>
      </c>
      <c r="L47" s="94">
        <v>21.3500061035156</v>
      </c>
      <c r="M47" s="94">
        <v>19.550003051757798</v>
      </c>
      <c r="N47" s="94">
        <v>22.3185920715332</v>
      </c>
      <c r="O47" s="94">
        <v>17</v>
      </c>
      <c r="P47" s="94" t="s">
        <v>70</v>
      </c>
    </row>
    <row r="48" spans="1:16" x14ac:dyDescent="0.35">
      <c r="A48" s="94">
        <v>200</v>
      </c>
      <c r="B48" s="94" t="s">
        <v>880</v>
      </c>
      <c r="C48" s="94">
        <v>5.5500001907348597</v>
      </c>
      <c r="D48" s="94">
        <v>5.8000001907348597</v>
      </c>
      <c r="E48" s="94">
        <v>5.5799999237060502</v>
      </c>
      <c r="F48" s="94">
        <v>22.1641025543213</v>
      </c>
      <c r="G48" s="94">
        <v>72</v>
      </c>
      <c r="H48" s="94" t="s">
        <v>70</v>
      </c>
      <c r="I48" s="94">
        <v>200</v>
      </c>
      <c r="J48" s="94" t="s">
        <v>881</v>
      </c>
      <c r="K48" s="94">
        <v>24.449996948242202</v>
      </c>
      <c r="L48" s="94">
        <v>24.8999938964844</v>
      </c>
      <c r="M48" s="94">
        <v>23.449996948242202</v>
      </c>
      <c r="N48" s="94">
        <v>22.051740646362301</v>
      </c>
      <c r="O48" s="94">
        <v>22</v>
      </c>
      <c r="P48" s="94" t="s">
        <v>70</v>
      </c>
    </row>
    <row r="49" spans="1:16" x14ac:dyDescent="0.35">
      <c r="A49" s="94">
        <v>205</v>
      </c>
      <c r="B49" s="94" t="s">
        <v>882</v>
      </c>
      <c r="C49" s="94">
        <v>4.3500003814697301</v>
      </c>
      <c r="D49" s="94">
        <v>4.5500001907348597</v>
      </c>
      <c r="E49" s="94">
        <v>4.2800006866455096</v>
      </c>
      <c r="F49" s="94">
        <v>21.9840793609619</v>
      </c>
      <c r="G49" s="94">
        <v>23</v>
      </c>
      <c r="H49" s="94" t="s">
        <v>70</v>
      </c>
      <c r="I49" s="94">
        <v>205</v>
      </c>
      <c r="J49" s="94" t="s">
        <v>883</v>
      </c>
      <c r="K49" s="94">
        <v>28.25</v>
      </c>
      <c r="L49" s="94">
        <v>28.699996948242202</v>
      </c>
      <c r="M49" s="94">
        <v>28.550003051757798</v>
      </c>
      <c r="N49" s="94">
        <v>21.870079040527301</v>
      </c>
      <c r="O49" s="94">
        <v>1</v>
      </c>
      <c r="P49" s="94" t="s">
        <v>70</v>
      </c>
    </row>
    <row r="50" spans="1:16" x14ac:dyDescent="0.35">
      <c r="A50" s="94">
        <v>210</v>
      </c>
      <c r="B50" s="94" t="s">
        <v>884</v>
      </c>
      <c r="C50" s="94">
        <v>3.3500003814697301</v>
      </c>
      <c r="D50" s="94">
        <v>3.5999994277954102</v>
      </c>
      <c r="E50" s="94">
        <v>3.3500003814697301</v>
      </c>
      <c r="F50" s="94">
        <v>21.884422302246101</v>
      </c>
      <c r="G50" s="94">
        <v>57</v>
      </c>
      <c r="H50" s="94" t="s">
        <v>70</v>
      </c>
      <c r="I50" s="94">
        <v>210</v>
      </c>
      <c r="J50" s="94" t="s">
        <v>885</v>
      </c>
      <c r="K50" s="94">
        <v>31.949996948242202</v>
      </c>
      <c r="L50" s="94">
        <v>33.150009155273402</v>
      </c>
      <c r="M50" s="94">
        <v>0</v>
      </c>
      <c r="N50" s="94">
        <v>21.804960250854499</v>
      </c>
      <c r="O50" s="94">
        <v>0</v>
      </c>
      <c r="P50" s="94" t="s">
        <v>70</v>
      </c>
    </row>
    <row r="51" spans="1:16" x14ac:dyDescent="0.35">
      <c r="A51" s="94">
        <v>215</v>
      </c>
      <c r="B51" s="94" t="s">
        <v>886</v>
      </c>
      <c r="C51" s="94">
        <v>2.5699996948242201</v>
      </c>
      <c r="D51" s="94">
        <v>2.7600002288818399</v>
      </c>
      <c r="E51" s="94">
        <v>0</v>
      </c>
      <c r="F51" s="94">
        <v>21.7332973480225</v>
      </c>
      <c r="G51" s="94">
        <v>0</v>
      </c>
      <c r="H51" s="94" t="s">
        <v>70</v>
      </c>
      <c r="I51" s="94">
        <v>215</v>
      </c>
      <c r="J51" s="94" t="s">
        <v>887</v>
      </c>
      <c r="K51" s="94">
        <v>36.0499877929688</v>
      </c>
      <c r="L51" s="94">
        <v>37.449996948242202</v>
      </c>
      <c r="M51" s="94">
        <v>0</v>
      </c>
      <c r="N51" s="94">
        <v>21.533390045166001</v>
      </c>
      <c r="O51" s="94">
        <v>0</v>
      </c>
      <c r="P51" s="94" t="s">
        <v>70</v>
      </c>
    </row>
    <row r="52" spans="1:16" x14ac:dyDescent="0.35">
      <c r="A52" s="94">
        <v>220</v>
      </c>
      <c r="B52" s="94" t="s">
        <v>888</v>
      </c>
      <c r="C52" s="94">
        <v>1.9700002670288099</v>
      </c>
      <c r="D52" s="94">
        <v>2.1300001144409202</v>
      </c>
      <c r="E52" s="94">
        <v>0</v>
      </c>
      <c r="F52" s="94">
        <v>21.68723487854</v>
      </c>
      <c r="G52" s="94">
        <v>0</v>
      </c>
      <c r="H52" s="94" t="s">
        <v>70</v>
      </c>
      <c r="I52" s="94">
        <v>220</v>
      </c>
      <c r="J52" s="94" t="s">
        <v>889</v>
      </c>
      <c r="K52" s="94">
        <v>40.449996948242202</v>
      </c>
      <c r="L52" s="94">
        <v>42</v>
      </c>
      <c r="M52" s="94">
        <v>0</v>
      </c>
      <c r="N52" s="94">
        <v>21.583574295043899</v>
      </c>
      <c r="O52" s="94">
        <v>0</v>
      </c>
      <c r="P52" s="94" t="s">
        <v>70</v>
      </c>
    </row>
    <row r="53" spans="1:16" x14ac:dyDescent="0.35">
      <c r="A53" s="94">
        <v>225</v>
      </c>
      <c r="B53" s="94" t="s">
        <v>890</v>
      </c>
      <c r="C53" s="94">
        <v>1.5</v>
      </c>
      <c r="D53" s="94">
        <v>1.63000011444092</v>
      </c>
      <c r="E53" s="94">
        <v>1.71000003814697</v>
      </c>
      <c r="F53" s="94">
        <v>21.650310516357401</v>
      </c>
      <c r="G53" s="94">
        <v>56</v>
      </c>
      <c r="H53" s="94" t="s">
        <v>70</v>
      </c>
      <c r="I53" s="94">
        <v>225</v>
      </c>
      <c r="J53" s="94" t="s">
        <v>891</v>
      </c>
      <c r="K53" s="94">
        <v>44.900009155273402</v>
      </c>
      <c r="L53" s="94">
        <v>46.75</v>
      </c>
      <c r="M53" s="94">
        <v>0</v>
      </c>
      <c r="N53" s="94">
        <v>21.6373805999756</v>
      </c>
      <c r="O53" s="94">
        <v>0</v>
      </c>
      <c r="P53" s="94" t="s">
        <v>70</v>
      </c>
    </row>
    <row r="54" spans="1:16" x14ac:dyDescent="0.35">
      <c r="A54" s="94">
        <v>230</v>
      </c>
      <c r="B54" s="94" t="s">
        <v>892</v>
      </c>
      <c r="C54" s="94">
        <v>1.1499996185302701</v>
      </c>
      <c r="D54" s="94">
        <v>1.2799997329711901</v>
      </c>
      <c r="E54" s="94">
        <v>0</v>
      </c>
      <c r="F54" s="94">
        <v>21.746131896972699</v>
      </c>
      <c r="G54" s="94">
        <v>0</v>
      </c>
      <c r="H54" s="94" t="s">
        <v>70</v>
      </c>
      <c r="I54" s="94">
        <v>230</v>
      </c>
      <c r="J54" s="94" t="s">
        <v>893</v>
      </c>
      <c r="K54" s="94">
        <v>49.700000762939503</v>
      </c>
      <c r="L54" s="94">
        <v>51.5</v>
      </c>
      <c r="M54" s="94">
        <v>0</v>
      </c>
      <c r="N54" s="94">
        <v>22.104579925537099</v>
      </c>
      <c r="O54" s="94">
        <v>0</v>
      </c>
      <c r="P54" s="94" t="s">
        <v>70</v>
      </c>
    </row>
    <row r="55" spans="1:16" x14ac:dyDescent="0.35">
      <c r="A55" s="94">
        <v>235</v>
      </c>
      <c r="B55" s="94" t="s">
        <v>894</v>
      </c>
      <c r="C55" s="94">
        <v>0.87000000476837203</v>
      </c>
      <c r="D55" s="94">
        <v>1</v>
      </c>
      <c r="E55" s="94">
        <v>0</v>
      </c>
      <c r="F55" s="94">
        <v>21.8140983581543</v>
      </c>
      <c r="G55" s="94">
        <v>0</v>
      </c>
      <c r="H55" s="94" t="s">
        <v>70</v>
      </c>
      <c r="I55" s="94">
        <v>235</v>
      </c>
      <c r="J55" s="94" t="s">
        <v>895</v>
      </c>
      <c r="K55" s="94">
        <v>54.349998474121101</v>
      </c>
      <c r="L55" s="94">
        <v>56.25</v>
      </c>
      <c r="M55" s="94">
        <v>0</v>
      </c>
      <c r="N55" s="94">
        <v>21.6569004058838</v>
      </c>
      <c r="O55" s="94">
        <v>0</v>
      </c>
      <c r="P55" s="94" t="s">
        <v>70</v>
      </c>
    </row>
    <row r="56" spans="1:16" x14ac:dyDescent="0.35">
      <c r="A56" s="94">
        <v>240</v>
      </c>
      <c r="B56" s="94" t="s">
        <v>896</v>
      </c>
      <c r="C56" s="94">
        <v>0.67000001668930098</v>
      </c>
      <c r="D56" s="94">
        <v>0.77999997138977095</v>
      </c>
      <c r="E56" s="94">
        <v>0.81000000238418601</v>
      </c>
      <c r="F56" s="94">
        <v>21.9318962097168</v>
      </c>
      <c r="G56" s="94">
        <v>1</v>
      </c>
      <c r="H56" s="94" t="s">
        <v>70</v>
      </c>
      <c r="I56" s="94">
        <v>240</v>
      </c>
      <c r="J56" s="94" t="s">
        <v>897</v>
      </c>
      <c r="K56" s="94">
        <v>59.25</v>
      </c>
      <c r="L56" s="94">
        <v>61.150009155273402</v>
      </c>
      <c r="M56" s="94">
        <v>0</v>
      </c>
      <c r="N56" s="94">
        <v>22.140531539916999</v>
      </c>
      <c r="O56" s="94">
        <v>0</v>
      </c>
      <c r="P56" s="94" t="s">
        <v>70</v>
      </c>
    </row>
    <row r="57" spans="1:16" x14ac:dyDescent="0.35">
      <c r="A57" s="94">
        <v>245</v>
      </c>
      <c r="B57" s="94" t="s">
        <v>898</v>
      </c>
      <c r="C57" s="94">
        <v>0.519999980926514</v>
      </c>
      <c r="D57" s="94">
        <v>0.64999997615814198</v>
      </c>
      <c r="E57" s="94">
        <v>0</v>
      </c>
      <c r="F57" s="94">
        <v>22.2193698883057</v>
      </c>
      <c r="G57" s="94">
        <v>0</v>
      </c>
      <c r="H57" s="94" t="s">
        <v>70</v>
      </c>
      <c r="I57" s="94">
        <v>245</v>
      </c>
      <c r="J57" s="94" t="s">
        <v>899</v>
      </c>
      <c r="K57" s="94">
        <v>64.050003051757798</v>
      </c>
      <c r="L57" s="94">
        <v>66</v>
      </c>
      <c r="M57" s="94">
        <v>0</v>
      </c>
      <c r="N57" s="94">
        <v>0</v>
      </c>
      <c r="O57" s="94">
        <v>0</v>
      </c>
      <c r="P57" s="94" t="s">
        <v>70</v>
      </c>
    </row>
    <row r="58" spans="1:16" x14ac:dyDescent="0.35">
      <c r="A58" s="94">
        <v>250</v>
      </c>
      <c r="B58" s="94" t="s">
        <v>900</v>
      </c>
      <c r="C58" s="94">
        <v>0.41000002622604398</v>
      </c>
      <c r="D58" s="94">
        <v>0.52999997138977095</v>
      </c>
      <c r="E58" s="94">
        <v>0.47000002861022899</v>
      </c>
      <c r="F58" s="94">
        <v>22.472335815429702</v>
      </c>
      <c r="G58" s="94">
        <v>2</v>
      </c>
      <c r="H58" s="94" t="s">
        <v>70</v>
      </c>
      <c r="I58" s="94">
        <v>250</v>
      </c>
      <c r="J58" s="94" t="s">
        <v>901</v>
      </c>
      <c r="K58" s="94">
        <v>69.400001525878906</v>
      </c>
      <c r="L58" s="94">
        <v>71</v>
      </c>
      <c r="M58" s="94">
        <v>0</v>
      </c>
      <c r="N58" s="94">
        <v>24.862993240356399</v>
      </c>
      <c r="O58" s="94">
        <v>0</v>
      </c>
      <c r="P58" s="94" t="s">
        <v>70</v>
      </c>
    </row>
    <row r="59" spans="1:16" x14ac:dyDescent="0.35">
      <c r="A59" s="94">
        <v>255</v>
      </c>
      <c r="B59" s="94" t="s">
        <v>902</v>
      </c>
      <c r="C59" s="94">
        <v>0.31999999284744302</v>
      </c>
      <c r="D59" s="94">
        <v>0.43999999761581399</v>
      </c>
      <c r="E59" s="94">
        <v>0</v>
      </c>
      <c r="F59" s="94">
        <v>22.736150741577099</v>
      </c>
      <c r="G59" s="94">
        <v>0</v>
      </c>
      <c r="H59" s="94" t="s">
        <v>70</v>
      </c>
      <c r="I59" s="94">
        <v>255</v>
      </c>
      <c r="J59" s="94" t="s">
        <v>903</v>
      </c>
      <c r="K59" s="94">
        <v>74.400001525878906</v>
      </c>
      <c r="L59" s="94">
        <v>76</v>
      </c>
      <c r="M59" s="94">
        <v>0</v>
      </c>
      <c r="N59" s="94">
        <v>26.1753025054932</v>
      </c>
      <c r="O59" s="94">
        <v>0</v>
      </c>
      <c r="P59" s="94" t="s">
        <v>70</v>
      </c>
    </row>
    <row r="60" spans="1:16" x14ac:dyDescent="0.35">
      <c r="A60" s="94">
        <v>260</v>
      </c>
      <c r="B60" s="94" t="s">
        <v>904</v>
      </c>
      <c r="C60" s="94">
        <v>0.25</v>
      </c>
      <c r="D60" s="94">
        <v>0.37999999523162797</v>
      </c>
      <c r="E60" s="94">
        <v>0</v>
      </c>
      <c r="F60" s="94">
        <v>23.0718879699707</v>
      </c>
      <c r="G60" s="94">
        <v>0</v>
      </c>
      <c r="H60" s="94" t="s">
        <v>70</v>
      </c>
      <c r="I60" s="94">
        <v>260</v>
      </c>
      <c r="J60" s="94" t="s">
        <v>905</v>
      </c>
      <c r="K60" s="94">
        <v>78.949996948242202</v>
      </c>
      <c r="L60" s="94">
        <v>81.199996948242202</v>
      </c>
      <c r="M60" s="94">
        <v>0</v>
      </c>
      <c r="N60" s="94">
        <v>0</v>
      </c>
      <c r="O60" s="94">
        <v>0</v>
      </c>
      <c r="P60" s="94" t="s">
        <v>70</v>
      </c>
    </row>
    <row r="61" spans="1:16" x14ac:dyDescent="0.35">
      <c r="A61" s="94">
        <v>265</v>
      </c>
      <c r="B61" s="94" t="s">
        <v>906</v>
      </c>
      <c r="C61" s="94">
        <v>0.19999998807907099</v>
      </c>
      <c r="D61" s="94">
        <v>0.33999997377395602</v>
      </c>
      <c r="E61" s="94">
        <v>0</v>
      </c>
      <c r="F61" s="94">
        <v>23.503826141357401</v>
      </c>
      <c r="G61" s="94">
        <v>0</v>
      </c>
      <c r="H61" s="94" t="s">
        <v>70</v>
      </c>
      <c r="I61" s="94">
        <v>265</v>
      </c>
      <c r="J61" s="94" t="s">
        <v>907</v>
      </c>
      <c r="K61" s="94">
        <v>83.949996948242202</v>
      </c>
      <c r="L61" s="94">
        <v>86.199996948242202</v>
      </c>
      <c r="M61" s="94">
        <v>0</v>
      </c>
      <c r="N61" s="94">
        <v>0</v>
      </c>
      <c r="O61" s="94">
        <v>0</v>
      </c>
      <c r="P61" s="94" t="s">
        <v>70</v>
      </c>
    </row>
    <row r="62" spans="1:16" x14ac:dyDescent="0.35">
      <c r="A62" s="94">
        <v>270</v>
      </c>
      <c r="B62" s="94" t="s">
        <v>908</v>
      </c>
      <c r="C62" s="94">
        <v>0.14999997615814201</v>
      </c>
      <c r="D62" s="94">
        <v>0.30000001192092901</v>
      </c>
      <c r="E62" s="94">
        <v>0</v>
      </c>
      <c r="F62" s="94">
        <v>23.811384201049801</v>
      </c>
      <c r="G62" s="94">
        <v>0</v>
      </c>
      <c r="H62" s="94" t="s">
        <v>70</v>
      </c>
      <c r="I62" s="94">
        <v>270</v>
      </c>
      <c r="J62" s="94" t="s">
        <v>909</v>
      </c>
      <c r="K62" s="94">
        <v>88.949996948242202</v>
      </c>
      <c r="L62" s="94">
        <v>91.199996948242202</v>
      </c>
      <c r="M62" s="94">
        <v>0</v>
      </c>
      <c r="N62" s="94">
        <v>0</v>
      </c>
      <c r="O62" s="94">
        <v>0</v>
      </c>
      <c r="P62" s="94" t="s">
        <v>70</v>
      </c>
    </row>
    <row r="63" spans="1:16" x14ac:dyDescent="0.35">
      <c r="A63" s="94">
        <v>275</v>
      </c>
      <c r="B63" s="94" t="s">
        <v>910</v>
      </c>
      <c r="C63" s="94">
        <v>0.119999945163727</v>
      </c>
      <c r="D63" s="94">
        <v>0.27999997138977101</v>
      </c>
      <c r="E63" s="94">
        <v>0</v>
      </c>
      <c r="F63" s="94">
        <v>24.312648773193398</v>
      </c>
      <c r="G63" s="94">
        <v>0</v>
      </c>
      <c r="H63" s="94" t="s">
        <v>70</v>
      </c>
      <c r="I63" s="94">
        <v>275</v>
      </c>
      <c r="J63" s="94" t="s">
        <v>911</v>
      </c>
      <c r="K63" s="94">
        <v>94</v>
      </c>
      <c r="L63" s="94">
        <v>96.25</v>
      </c>
      <c r="M63" s="94">
        <v>0</v>
      </c>
      <c r="N63" s="94">
        <v>0</v>
      </c>
      <c r="O63" s="94">
        <v>0</v>
      </c>
      <c r="P63" s="94" t="s">
        <v>70</v>
      </c>
    </row>
    <row r="64" spans="1:16" x14ac:dyDescent="0.35">
      <c r="A64" s="94">
        <v>280</v>
      </c>
      <c r="B64" s="94" t="s">
        <v>912</v>
      </c>
      <c r="C64" s="94">
        <v>9.0000033378601102E-2</v>
      </c>
      <c r="D64" s="94">
        <v>0.259999990463257</v>
      </c>
      <c r="E64" s="94">
        <v>0</v>
      </c>
      <c r="F64" s="94">
        <v>24.7381687164307</v>
      </c>
      <c r="G64" s="94">
        <v>0</v>
      </c>
      <c r="H64" s="94" t="s">
        <v>70</v>
      </c>
      <c r="I64" s="94">
        <v>280</v>
      </c>
      <c r="J64" s="94" t="s">
        <v>913</v>
      </c>
      <c r="K64" s="94">
        <v>99</v>
      </c>
      <c r="L64" s="94">
        <v>101.25</v>
      </c>
      <c r="M64" s="94">
        <v>0</v>
      </c>
      <c r="N64" s="94">
        <v>0</v>
      </c>
      <c r="O64" s="94">
        <v>0</v>
      </c>
      <c r="P64" s="94" t="s">
        <v>70</v>
      </c>
    </row>
    <row r="65" spans="1:16" x14ac:dyDescent="0.35">
      <c r="A65" s="94">
        <v>285</v>
      </c>
      <c r="B65" s="94" t="s">
        <v>914</v>
      </c>
      <c r="C65" s="94">
        <v>6.9999992847442599E-2</v>
      </c>
      <c r="D65" s="94">
        <v>0.240000009536743</v>
      </c>
      <c r="E65" s="94">
        <v>0</v>
      </c>
      <c r="F65" s="94">
        <v>25.1779880523682</v>
      </c>
      <c r="G65" s="94">
        <v>0</v>
      </c>
      <c r="H65" s="94" t="s">
        <v>70</v>
      </c>
      <c r="I65" s="94">
        <v>285</v>
      </c>
      <c r="J65" s="94" t="s">
        <v>915</v>
      </c>
      <c r="K65" s="94">
        <v>104</v>
      </c>
      <c r="L65" s="94">
        <v>106.25</v>
      </c>
      <c r="M65" s="94">
        <v>0</v>
      </c>
      <c r="N65" s="94">
        <v>0</v>
      </c>
      <c r="O65" s="94">
        <v>0</v>
      </c>
      <c r="P65" s="94" t="s">
        <v>70</v>
      </c>
    </row>
    <row r="66" spans="1:16" x14ac:dyDescent="0.35">
      <c r="A66" s="94">
        <v>290</v>
      </c>
      <c r="B66" s="94" t="s">
        <v>916</v>
      </c>
      <c r="C66" s="94">
        <v>5.0000000745058101E-2</v>
      </c>
      <c r="D66" s="94">
        <v>0.230000019073486</v>
      </c>
      <c r="E66" s="94">
        <v>0</v>
      </c>
      <c r="F66" s="94">
        <v>25.656274795532202</v>
      </c>
      <c r="G66" s="94">
        <v>0</v>
      </c>
      <c r="H66" s="94" t="s">
        <v>70</v>
      </c>
      <c r="I66" s="94">
        <v>290</v>
      </c>
      <c r="J66" s="94" t="s">
        <v>917</v>
      </c>
      <c r="K66" s="94">
        <v>109</v>
      </c>
      <c r="L66" s="94">
        <v>111.25</v>
      </c>
      <c r="M66" s="94">
        <v>0</v>
      </c>
      <c r="N66" s="94">
        <v>0</v>
      </c>
      <c r="O66" s="94">
        <v>0</v>
      </c>
      <c r="P66" s="94" t="s">
        <v>70</v>
      </c>
    </row>
    <row r="67" spans="1:16" x14ac:dyDescent="0.35">
      <c r="A67" s="94">
        <v>295</v>
      </c>
      <c r="B67" s="94" t="s">
        <v>918</v>
      </c>
      <c r="C67" s="94">
        <v>3.9999999105930301E-2</v>
      </c>
      <c r="D67" s="94">
        <v>0.21999996900558499</v>
      </c>
      <c r="E67" s="94">
        <v>0</v>
      </c>
      <c r="F67" s="94">
        <v>26.2032794952393</v>
      </c>
      <c r="G67" s="94">
        <v>0</v>
      </c>
      <c r="H67" s="94" t="s">
        <v>70</v>
      </c>
      <c r="I67" s="94">
        <v>295</v>
      </c>
      <c r="J67" s="94" t="s">
        <v>919</v>
      </c>
      <c r="K67" s="94">
        <v>114</v>
      </c>
      <c r="L67" s="94">
        <v>116.25</v>
      </c>
      <c r="M67" s="94">
        <v>0</v>
      </c>
      <c r="N67" s="94">
        <v>0</v>
      </c>
      <c r="O67" s="94">
        <v>0</v>
      </c>
      <c r="P67" s="94" t="s">
        <v>70</v>
      </c>
    </row>
    <row r="68" spans="1:16" x14ac:dyDescent="0.35">
      <c r="A68" s="94">
        <v>300</v>
      </c>
      <c r="B68" s="94" t="s">
        <v>920</v>
      </c>
      <c r="C68" s="94">
        <v>3.0000001192092899E-2</v>
      </c>
      <c r="D68" s="94">
        <v>0.20999997854232799</v>
      </c>
      <c r="E68" s="94">
        <v>0</v>
      </c>
      <c r="F68" s="94">
        <v>26.704994201660199</v>
      </c>
      <c r="G68" s="94">
        <v>0</v>
      </c>
      <c r="H68" s="94" t="s">
        <v>70</v>
      </c>
      <c r="I68" s="94">
        <v>300</v>
      </c>
      <c r="J68" s="94" t="s">
        <v>921</v>
      </c>
      <c r="K68" s="94">
        <v>119</v>
      </c>
      <c r="L68" s="94">
        <v>121.25</v>
      </c>
      <c r="M68" s="94">
        <v>0</v>
      </c>
      <c r="N68" s="94">
        <v>0</v>
      </c>
      <c r="O68" s="94">
        <v>0</v>
      </c>
      <c r="P68" s="94" t="s">
        <v>70</v>
      </c>
    </row>
    <row r="69" spans="1:16" x14ac:dyDescent="0.35">
      <c r="A69" s="94">
        <v>305</v>
      </c>
      <c r="B69" s="94" t="s">
        <v>922</v>
      </c>
      <c r="C69" s="94">
        <v>1.9999999552965199E-2</v>
      </c>
      <c r="D69" s="94">
        <v>0.20999997854232799</v>
      </c>
      <c r="E69" s="94">
        <v>0</v>
      </c>
      <c r="F69" s="94">
        <v>27.311365127563501</v>
      </c>
      <c r="G69" s="94">
        <v>0</v>
      </c>
      <c r="H69" s="94" t="s">
        <v>70</v>
      </c>
      <c r="I69" s="94">
        <v>305</v>
      </c>
      <c r="J69" s="94" t="s">
        <v>923</v>
      </c>
      <c r="K69" s="94">
        <v>124</v>
      </c>
      <c r="L69" s="94">
        <v>126.25</v>
      </c>
      <c r="M69" s="94">
        <v>0</v>
      </c>
      <c r="N69" s="94">
        <v>0</v>
      </c>
      <c r="O69" s="94">
        <v>0</v>
      </c>
      <c r="P69" s="94" t="s">
        <v>70</v>
      </c>
    </row>
    <row r="70" spans="1:16" x14ac:dyDescent="0.35">
      <c r="A70" s="94">
        <v>310</v>
      </c>
      <c r="B70" s="94" t="s">
        <v>924</v>
      </c>
      <c r="C70" s="94">
        <v>1.9999999552965199E-2</v>
      </c>
      <c r="D70" s="94">
        <v>0.19999998807907099</v>
      </c>
      <c r="E70" s="94">
        <v>0</v>
      </c>
      <c r="F70" s="94">
        <v>27.8894653320313</v>
      </c>
      <c r="G70" s="94">
        <v>0</v>
      </c>
      <c r="H70" s="94" t="s">
        <v>70</v>
      </c>
      <c r="I70" s="94">
        <v>310</v>
      </c>
      <c r="J70" s="94" t="s">
        <v>925</v>
      </c>
      <c r="K70" s="94">
        <v>129</v>
      </c>
      <c r="L70" s="94">
        <v>131.25</v>
      </c>
      <c r="M70" s="94">
        <v>0</v>
      </c>
      <c r="N70" s="94">
        <v>0</v>
      </c>
      <c r="O70" s="94">
        <v>0</v>
      </c>
      <c r="P70" s="94" t="s">
        <v>70</v>
      </c>
    </row>
    <row r="71" spans="1:16" x14ac:dyDescent="0.35">
      <c r="A71" s="94">
        <v>315</v>
      </c>
      <c r="B71" s="94" t="s">
        <v>926</v>
      </c>
      <c r="C71" s="94">
        <v>1.00000016391277E-2</v>
      </c>
      <c r="D71" s="94">
        <v>0.19999998807907099</v>
      </c>
      <c r="E71" s="94">
        <v>0</v>
      </c>
      <c r="F71" s="94">
        <v>28.441667556762699</v>
      </c>
      <c r="G71" s="94">
        <v>0</v>
      </c>
      <c r="H71" s="94" t="s">
        <v>70</v>
      </c>
      <c r="I71" s="94">
        <v>315</v>
      </c>
      <c r="J71" s="94" t="s">
        <v>927</v>
      </c>
      <c r="K71" s="94">
        <v>134</v>
      </c>
      <c r="L71" s="94">
        <v>136.25</v>
      </c>
      <c r="M71" s="94">
        <v>0</v>
      </c>
      <c r="N71" s="94">
        <v>0</v>
      </c>
      <c r="O71" s="94">
        <v>0</v>
      </c>
      <c r="P71" s="94" t="s">
        <v>70</v>
      </c>
    </row>
    <row r="72" spans="1:16" x14ac:dyDescent="0.35">
      <c r="A72" s="94">
        <v>320</v>
      </c>
      <c r="B72" s="94" t="s">
        <v>928</v>
      </c>
      <c r="C72" s="94">
        <v>1.00000016391277E-2</v>
      </c>
      <c r="D72" s="94">
        <v>0.17000001668930101</v>
      </c>
      <c r="E72" s="94">
        <v>0</v>
      </c>
      <c r="F72" s="94">
        <v>28.6317329406738</v>
      </c>
      <c r="G72" s="94">
        <v>0</v>
      </c>
      <c r="H72" s="94" t="s">
        <v>70</v>
      </c>
      <c r="I72" s="94">
        <v>320</v>
      </c>
      <c r="J72" s="94" t="s">
        <v>929</v>
      </c>
      <c r="K72" s="94">
        <v>139</v>
      </c>
      <c r="L72" s="94">
        <v>141.25</v>
      </c>
      <c r="M72" s="94">
        <v>0</v>
      </c>
      <c r="N72" s="94">
        <v>0</v>
      </c>
      <c r="O72" s="94">
        <v>0</v>
      </c>
      <c r="P72" s="94" t="s">
        <v>70</v>
      </c>
    </row>
    <row r="73" spans="1:16" x14ac:dyDescent="0.35">
      <c r="A73" s="94">
        <v>325</v>
      </c>
      <c r="B73" s="94" t="s">
        <v>930</v>
      </c>
      <c r="C73" s="94">
        <v>0</v>
      </c>
      <c r="D73" s="94">
        <v>0.16000002622604401</v>
      </c>
      <c r="E73" s="94">
        <v>0</v>
      </c>
      <c r="F73" s="94">
        <v>31.330345153808601</v>
      </c>
      <c r="G73" s="94">
        <v>0</v>
      </c>
      <c r="H73" s="94" t="s">
        <v>70</v>
      </c>
      <c r="I73" s="94">
        <v>325</v>
      </c>
      <c r="J73" s="94" t="s">
        <v>931</v>
      </c>
      <c r="K73" s="94">
        <v>144</v>
      </c>
      <c r="L73" s="94">
        <v>146.25</v>
      </c>
      <c r="M73" s="94">
        <v>0</v>
      </c>
      <c r="N73" s="94">
        <v>0</v>
      </c>
      <c r="O73" s="94">
        <v>0</v>
      </c>
      <c r="P73" s="94" t="s">
        <v>70</v>
      </c>
    </row>
    <row r="74" spans="1:16" x14ac:dyDescent="0.35">
      <c r="A74" s="94">
        <v>330</v>
      </c>
      <c r="B74" s="94" t="s">
        <v>932</v>
      </c>
      <c r="C74" s="94">
        <v>0</v>
      </c>
      <c r="D74" s="94">
        <v>0.139999985694885</v>
      </c>
      <c r="E74" s="94">
        <v>0</v>
      </c>
      <c r="F74" s="94">
        <v>31.5067253112793</v>
      </c>
      <c r="G74" s="94">
        <v>0</v>
      </c>
      <c r="H74" s="94" t="s">
        <v>70</v>
      </c>
      <c r="I74" s="94">
        <v>330</v>
      </c>
      <c r="J74" s="94" t="s">
        <v>933</v>
      </c>
      <c r="K74" s="94">
        <v>149</v>
      </c>
      <c r="L74" s="94">
        <v>151.25</v>
      </c>
      <c r="M74" s="94">
        <v>0</v>
      </c>
      <c r="N74" s="94">
        <v>0</v>
      </c>
      <c r="O74" s="94">
        <v>0</v>
      </c>
      <c r="P74" s="94" t="s">
        <v>70</v>
      </c>
    </row>
    <row r="75" spans="1:16" x14ac:dyDescent="0.35">
      <c r="A75" s="94">
        <v>335</v>
      </c>
      <c r="B75" s="94" t="s">
        <v>934</v>
      </c>
      <c r="C75" s="94">
        <v>0</v>
      </c>
      <c r="D75" s="94">
        <v>0.139999985694885</v>
      </c>
      <c r="E75" s="94">
        <v>0</v>
      </c>
      <c r="F75" s="94">
        <v>32.177299499511697</v>
      </c>
      <c r="G75" s="94">
        <v>0</v>
      </c>
      <c r="H75" s="94" t="s">
        <v>70</v>
      </c>
      <c r="I75" s="94">
        <v>335</v>
      </c>
      <c r="J75" s="94" t="s">
        <v>935</v>
      </c>
      <c r="K75" s="94">
        <v>154</v>
      </c>
      <c r="L75" s="94">
        <v>156.25</v>
      </c>
      <c r="M75" s="94">
        <v>0</v>
      </c>
      <c r="N75" s="94">
        <v>0</v>
      </c>
      <c r="O75" s="94">
        <v>0</v>
      </c>
      <c r="P75" s="94" t="s">
        <v>70</v>
      </c>
    </row>
    <row r="76" spans="1:16" x14ac:dyDescent="0.35">
      <c r="A76" s="94">
        <v>340</v>
      </c>
      <c r="B76" s="94" t="s">
        <v>936</v>
      </c>
      <c r="C76" s="94">
        <v>0</v>
      </c>
      <c r="D76" s="94">
        <v>0.129999995231628</v>
      </c>
      <c r="E76" s="94">
        <v>0</v>
      </c>
      <c r="F76" s="94">
        <v>32.549312591552699</v>
      </c>
      <c r="G76" s="94">
        <v>0</v>
      </c>
      <c r="H76" s="94" t="s">
        <v>70</v>
      </c>
      <c r="I76" s="94">
        <v>340</v>
      </c>
      <c r="J76" s="94" t="s">
        <v>937</v>
      </c>
      <c r="K76" s="94">
        <v>159</v>
      </c>
      <c r="L76" s="94">
        <v>161.25</v>
      </c>
      <c r="M76" s="94">
        <v>0</v>
      </c>
      <c r="N76" s="94">
        <v>0</v>
      </c>
      <c r="O76" s="94">
        <v>0</v>
      </c>
      <c r="P76" s="94" t="s">
        <v>70</v>
      </c>
    </row>
  </sheetData>
  <mergeCells count="2">
    <mergeCell ref="A1:H1"/>
    <mergeCell ref="A3:H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25CC2-E66E-40AD-BAAC-39CD9FF0D8FD}">
  <sheetPr codeName="Sheet1"/>
  <dimension ref="B10:Z54"/>
  <sheetViews>
    <sheetView workbookViewId="0">
      <selection activeCell="P10" sqref="P10:Z32"/>
    </sheetView>
  </sheetViews>
  <sheetFormatPr defaultColWidth="8.81640625" defaultRowHeight="14.5" x14ac:dyDescent="0.35"/>
  <cols>
    <col min="2" max="2" width="9.81640625" bestFit="1" customWidth="1"/>
  </cols>
  <sheetData>
    <row r="10" spans="2:26" ht="19" thickBot="1" x14ac:dyDescent="0.4">
      <c r="B10" s="21" t="s">
        <v>17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4"/>
      <c r="P10" s="21" t="s">
        <v>10</v>
      </c>
      <c r="Q10" s="3"/>
      <c r="R10" s="3"/>
      <c r="S10" s="3"/>
      <c r="T10" s="3"/>
      <c r="U10" s="3"/>
      <c r="V10" s="3"/>
      <c r="W10" s="3"/>
      <c r="X10" s="3"/>
      <c r="Y10" s="3"/>
      <c r="Z10" s="4"/>
    </row>
    <row r="11" spans="2:26" ht="15" thickBot="1" x14ac:dyDescent="0.4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11"/>
      <c r="N11" s="7"/>
      <c r="P11" s="5"/>
      <c r="Q11" s="6"/>
      <c r="R11" s="6"/>
      <c r="S11" s="6"/>
      <c r="T11" s="6"/>
      <c r="U11" s="6"/>
      <c r="V11" s="6"/>
      <c r="W11" s="6"/>
      <c r="X11" s="6"/>
      <c r="Y11" s="6"/>
      <c r="Z11" s="7"/>
    </row>
    <row r="12" spans="2:26" x14ac:dyDescent="0.3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12"/>
      <c r="N12" s="7"/>
      <c r="P12" s="5"/>
      <c r="Q12" s="6"/>
      <c r="R12" s="6"/>
      <c r="S12" s="6"/>
      <c r="T12" s="6"/>
      <c r="U12" s="6"/>
      <c r="V12" s="6"/>
      <c r="W12" s="6"/>
      <c r="X12" s="6"/>
      <c r="Y12" s="11"/>
      <c r="Z12" s="7"/>
    </row>
    <row r="13" spans="2:26" ht="15" thickBot="1" x14ac:dyDescent="0.4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12"/>
      <c r="N13" s="7"/>
      <c r="P13" s="5"/>
      <c r="Q13" s="6"/>
      <c r="R13" s="6"/>
      <c r="S13" s="6"/>
      <c r="T13" s="6"/>
      <c r="U13" s="6"/>
      <c r="V13" s="6"/>
      <c r="W13" s="6"/>
      <c r="X13" s="6"/>
      <c r="Y13" s="12"/>
      <c r="Z13" s="7"/>
    </row>
    <row r="14" spans="2:26" ht="15" thickBot="1" x14ac:dyDescent="0.4">
      <c r="B14" s="5"/>
      <c r="C14" s="6"/>
      <c r="D14" s="6"/>
      <c r="E14" s="6"/>
      <c r="F14" s="6"/>
      <c r="G14" s="6"/>
      <c r="H14" s="6"/>
      <c r="I14" s="6"/>
      <c r="J14" s="6"/>
      <c r="K14" s="11"/>
      <c r="L14" s="6"/>
      <c r="M14" s="13"/>
      <c r="N14" s="7"/>
      <c r="P14" s="5"/>
      <c r="Q14" s="6"/>
      <c r="R14" s="6"/>
      <c r="S14" s="6"/>
      <c r="T14" s="6"/>
      <c r="U14" s="6"/>
      <c r="V14" s="6"/>
      <c r="W14" s="11"/>
      <c r="X14" s="6"/>
      <c r="Y14" s="13"/>
      <c r="Z14" s="7"/>
    </row>
    <row r="15" spans="2:26" ht="15" thickBot="1" x14ac:dyDescent="0.4">
      <c r="B15" s="5"/>
      <c r="C15" s="6"/>
      <c r="D15" s="6"/>
      <c r="E15" s="6"/>
      <c r="F15" s="6"/>
      <c r="G15" s="6"/>
      <c r="H15" s="6"/>
      <c r="I15" s="6"/>
      <c r="J15" s="6"/>
      <c r="K15" s="12"/>
      <c r="L15" s="6"/>
      <c r="M15" s="6"/>
      <c r="N15" s="7"/>
      <c r="P15" s="5"/>
      <c r="Q15" s="6"/>
      <c r="R15" s="6"/>
      <c r="S15" s="6"/>
      <c r="T15" s="6"/>
      <c r="U15" s="6"/>
      <c r="V15" s="6"/>
      <c r="W15" s="12"/>
      <c r="X15" s="6"/>
      <c r="Y15" s="6"/>
      <c r="Z15" s="7"/>
    </row>
    <row r="16" spans="2:26" ht="15" thickBot="1" x14ac:dyDescent="0.4">
      <c r="B16" s="5"/>
      <c r="C16" s="6"/>
      <c r="D16" s="6"/>
      <c r="E16" s="6"/>
      <c r="F16" s="6"/>
      <c r="G16" s="6"/>
      <c r="H16" s="6"/>
      <c r="I16" s="6"/>
      <c r="J16" s="6"/>
      <c r="K16" s="12"/>
      <c r="L16" s="6"/>
      <c r="M16" s="6"/>
      <c r="N16" s="7"/>
      <c r="P16" s="5"/>
      <c r="Q16" s="6"/>
      <c r="R16" s="6"/>
      <c r="S16" s="6"/>
      <c r="T16" s="6"/>
      <c r="U16" s="11"/>
      <c r="V16" s="6"/>
      <c r="W16" s="13"/>
      <c r="X16" s="6"/>
      <c r="Y16" s="11"/>
      <c r="Z16" s="7"/>
    </row>
    <row r="17" spans="2:26" ht="15" thickBot="1" x14ac:dyDescent="0.4">
      <c r="B17" s="5"/>
      <c r="C17" s="6"/>
      <c r="D17" s="6"/>
      <c r="E17" s="6"/>
      <c r="F17" s="6"/>
      <c r="G17" s="6"/>
      <c r="H17" s="6"/>
      <c r="I17" s="11"/>
      <c r="J17" s="6"/>
      <c r="K17" s="13"/>
      <c r="L17" s="6"/>
      <c r="M17" s="11"/>
      <c r="N17" s="7"/>
      <c r="P17" s="5"/>
      <c r="Q17" s="6"/>
      <c r="R17" s="6"/>
      <c r="S17" s="6"/>
      <c r="T17" s="6"/>
      <c r="U17" s="12"/>
      <c r="V17" s="6"/>
      <c r="W17" s="6"/>
      <c r="X17" s="6"/>
      <c r="Y17" s="12"/>
      <c r="Z17" s="7"/>
    </row>
    <row r="18" spans="2:26" ht="15" thickBot="1" x14ac:dyDescent="0.4">
      <c r="B18" s="5"/>
      <c r="C18" s="6"/>
      <c r="D18" s="6"/>
      <c r="E18" s="6"/>
      <c r="F18" s="6"/>
      <c r="G18" s="6"/>
      <c r="H18" s="6"/>
      <c r="I18" s="12"/>
      <c r="J18" s="6"/>
      <c r="K18" s="6"/>
      <c r="L18" s="6"/>
      <c r="M18" s="12"/>
      <c r="N18" s="7"/>
      <c r="P18" s="5"/>
      <c r="Q18" s="6"/>
      <c r="R18" s="6"/>
      <c r="S18" s="11"/>
      <c r="T18" s="6"/>
      <c r="U18" s="13"/>
      <c r="V18" s="6"/>
      <c r="W18" s="11"/>
      <c r="X18" s="6"/>
      <c r="Y18" s="13"/>
      <c r="Z18" s="7"/>
    </row>
    <row r="19" spans="2:26" ht="15" thickBot="1" x14ac:dyDescent="0.4">
      <c r="B19" s="5"/>
      <c r="C19" s="6"/>
      <c r="D19" s="6"/>
      <c r="E19" s="6"/>
      <c r="F19" s="6"/>
      <c r="G19" s="6"/>
      <c r="H19" s="6"/>
      <c r="I19" s="12"/>
      <c r="J19" s="6"/>
      <c r="K19" s="6"/>
      <c r="L19" s="6"/>
      <c r="M19" s="12"/>
      <c r="N19" s="7"/>
      <c r="P19" s="5"/>
      <c r="Q19" s="6"/>
      <c r="R19" s="6"/>
      <c r="S19" s="12"/>
      <c r="T19" s="6"/>
      <c r="U19" s="6"/>
      <c r="V19" s="6"/>
      <c r="W19" s="12"/>
      <c r="X19" s="6"/>
      <c r="Y19" s="6"/>
      <c r="Z19" s="7"/>
    </row>
    <row r="20" spans="2:26" ht="15" thickBot="1" x14ac:dyDescent="0.4">
      <c r="B20" s="5"/>
      <c r="C20" s="6"/>
      <c r="D20" s="6"/>
      <c r="E20" s="6"/>
      <c r="F20" s="6"/>
      <c r="G20" s="11"/>
      <c r="H20" s="6"/>
      <c r="I20" s="13"/>
      <c r="J20" s="6"/>
      <c r="K20" s="11"/>
      <c r="L20" s="6"/>
      <c r="M20" s="13"/>
      <c r="N20" s="7"/>
      <c r="P20" s="5"/>
      <c r="Q20" s="11"/>
      <c r="R20" s="6"/>
      <c r="S20" s="13"/>
      <c r="T20" s="6"/>
      <c r="U20" s="11"/>
      <c r="V20" s="6"/>
      <c r="W20" s="13"/>
      <c r="X20" s="6"/>
      <c r="Y20" s="11"/>
      <c r="Z20" s="7"/>
    </row>
    <row r="21" spans="2:26" ht="15" thickBot="1" x14ac:dyDescent="0.4">
      <c r="B21" s="5"/>
      <c r="C21" s="6"/>
      <c r="D21" s="6"/>
      <c r="E21" s="6"/>
      <c r="F21" s="6"/>
      <c r="G21" s="12"/>
      <c r="H21" s="6"/>
      <c r="I21" s="6"/>
      <c r="J21" s="6"/>
      <c r="K21" s="12"/>
      <c r="L21" s="6"/>
      <c r="M21" s="6"/>
      <c r="N21" s="7"/>
      <c r="P21" s="5"/>
      <c r="Q21" s="12"/>
      <c r="R21" s="6"/>
      <c r="S21" s="6"/>
      <c r="T21" s="6"/>
      <c r="U21" s="12"/>
      <c r="V21" s="6"/>
      <c r="W21" s="6"/>
      <c r="X21" s="6"/>
      <c r="Y21" s="12"/>
      <c r="Z21" s="7"/>
    </row>
    <row r="22" spans="2:26" ht="15" thickBot="1" x14ac:dyDescent="0.4">
      <c r="B22" s="5"/>
      <c r="C22" s="6"/>
      <c r="D22" s="6"/>
      <c r="E22" s="6"/>
      <c r="F22" s="6"/>
      <c r="G22" s="12"/>
      <c r="H22" s="6"/>
      <c r="I22" s="6"/>
      <c r="J22" s="6"/>
      <c r="K22" s="12"/>
      <c r="L22" s="6"/>
      <c r="M22" s="6"/>
      <c r="N22" s="7"/>
      <c r="P22" s="5"/>
      <c r="Q22" s="13"/>
      <c r="R22" s="6"/>
      <c r="S22" s="11"/>
      <c r="T22" s="6"/>
      <c r="U22" s="13"/>
      <c r="V22" s="6"/>
      <c r="W22" s="11"/>
      <c r="X22" s="6"/>
      <c r="Y22" s="13"/>
      <c r="Z22" s="7"/>
    </row>
    <row r="23" spans="2:26" ht="15" thickBot="1" x14ac:dyDescent="0.4">
      <c r="B23" s="5"/>
      <c r="C23" s="6"/>
      <c r="D23" s="6"/>
      <c r="E23" s="11"/>
      <c r="F23" s="6"/>
      <c r="G23" s="13"/>
      <c r="H23" s="6"/>
      <c r="I23" s="11"/>
      <c r="J23" s="6"/>
      <c r="K23" s="13"/>
      <c r="L23" s="6"/>
      <c r="M23" s="11"/>
      <c r="N23" s="7"/>
      <c r="P23" s="5"/>
      <c r="Q23" s="6"/>
      <c r="R23" s="6"/>
      <c r="S23" s="12"/>
      <c r="T23" s="6"/>
      <c r="U23" s="6"/>
      <c r="V23" s="6"/>
      <c r="W23" s="12"/>
      <c r="X23" s="6"/>
      <c r="Y23" s="6"/>
      <c r="Z23" s="7"/>
    </row>
    <row r="24" spans="2:26" ht="15" thickBot="1" x14ac:dyDescent="0.4">
      <c r="B24" s="5"/>
      <c r="C24" s="6"/>
      <c r="D24" s="6"/>
      <c r="E24" s="12"/>
      <c r="F24" s="6"/>
      <c r="G24" s="6"/>
      <c r="H24" s="6"/>
      <c r="I24" s="12"/>
      <c r="J24" s="6"/>
      <c r="K24" s="6"/>
      <c r="L24" s="6"/>
      <c r="M24" s="12"/>
      <c r="N24" s="7"/>
      <c r="P24" s="5"/>
      <c r="Q24" s="6"/>
      <c r="R24" s="6"/>
      <c r="S24" s="13"/>
      <c r="T24" s="6"/>
      <c r="U24" s="11"/>
      <c r="V24" s="6"/>
      <c r="W24" s="13"/>
      <c r="X24" s="6"/>
      <c r="Y24" s="11"/>
      <c r="Z24" s="7"/>
    </row>
    <row r="25" spans="2:26" ht="15" thickBot="1" x14ac:dyDescent="0.4">
      <c r="B25" s="5"/>
      <c r="C25" s="6"/>
      <c r="D25" s="6"/>
      <c r="E25" s="12"/>
      <c r="F25" s="6"/>
      <c r="G25" s="6"/>
      <c r="H25" s="6"/>
      <c r="I25" s="12"/>
      <c r="J25" s="6"/>
      <c r="K25" s="6"/>
      <c r="L25" s="6"/>
      <c r="M25" s="12"/>
      <c r="N25" s="7"/>
      <c r="P25" s="5"/>
      <c r="Q25" s="6"/>
      <c r="R25" s="6"/>
      <c r="S25" s="6"/>
      <c r="T25" s="6"/>
      <c r="U25" s="12"/>
      <c r="V25" s="6"/>
      <c r="W25" s="6"/>
      <c r="X25" s="6"/>
      <c r="Y25" s="12"/>
      <c r="Z25" s="7"/>
    </row>
    <row r="26" spans="2:26" ht="15" thickBot="1" x14ac:dyDescent="0.4">
      <c r="B26" s="5"/>
      <c r="C26" s="11"/>
      <c r="D26" s="6"/>
      <c r="E26" s="13"/>
      <c r="F26" s="6"/>
      <c r="G26" s="11"/>
      <c r="H26" s="6"/>
      <c r="I26" s="13"/>
      <c r="J26" s="6"/>
      <c r="K26" s="11"/>
      <c r="L26" s="6"/>
      <c r="M26" s="13"/>
      <c r="N26" s="7"/>
      <c r="P26" s="5"/>
      <c r="Q26" s="6"/>
      <c r="R26" s="6"/>
      <c r="S26" s="6"/>
      <c r="T26" s="6"/>
      <c r="U26" s="13"/>
      <c r="V26" s="6"/>
      <c r="W26" s="11"/>
      <c r="X26" s="6"/>
      <c r="Y26" s="13"/>
      <c r="Z26" s="7"/>
    </row>
    <row r="27" spans="2:26" ht="15" thickBot="1" x14ac:dyDescent="0.4">
      <c r="B27" s="5"/>
      <c r="C27" s="12"/>
      <c r="D27" s="6"/>
      <c r="E27" s="6"/>
      <c r="F27" s="6"/>
      <c r="G27" s="12"/>
      <c r="H27" s="6"/>
      <c r="I27" s="6"/>
      <c r="J27" s="6"/>
      <c r="K27" s="12"/>
      <c r="L27" s="6"/>
      <c r="M27" s="6"/>
      <c r="N27" s="7"/>
      <c r="P27" s="5"/>
      <c r="Q27" s="6"/>
      <c r="R27" s="6"/>
      <c r="S27" s="6"/>
      <c r="T27" s="6"/>
      <c r="U27" s="6"/>
      <c r="V27" s="6"/>
      <c r="W27" s="12"/>
      <c r="X27" s="6"/>
      <c r="Y27" s="6"/>
      <c r="Z27" s="7"/>
    </row>
    <row r="28" spans="2:26" ht="15" thickBot="1" x14ac:dyDescent="0.4">
      <c r="B28" s="5"/>
      <c r="C28" s="12"/>
      <c r="D28" s="6"/>
      <c r="E28" s="6"/>
      <c r="F28" s="6"/>
      <c r="G28" s="12"/>
      <c r="H28" s="6"/>
      <c r="I28" s="6"/>
      <c r="J28" s="6"/>
      <c r="K28" s="12"/>
      <c r="L28" s="6"/>
      <c r="M28" s="6"/>
      <c r="N28" s="7"/>
      <c r="P28" s="5"/>
      <c r="Q28" s="6"/>
      <c r="R28" s="6"/>
      <c r="S28" s="6"/>
      <c r="T28" s="6"/>
      <c r="U28" s="6"/>
      <c r="V28" s="6"/>
      <c r="W28" s="13"/>
      <c r="X28" s="6"/>
      <c r="Y28" s="11"/>
      <c r="Z28" s="7"/>
    </row>
    <row r="29" spans="2:26" ht="15" thickBot="1" x14ac:dyDescent="0.4">
      <c r="B29" s="5"/>
      <c r="C29" s="13"/>
      <c r="D29" s="6"/>
      <c r="E29" s="11"/>
      <c r="F29" s="6"/>
      <c r="G29" s="13"/>
      <c r="H29" s="6"/>
      <c r="I29" s="11"/>
      <c r="J29" s="6"/>
      <c r="K29" s="13"/>
      <c r="L29" s="6"/>
      <c r="M29" s="11"/>
      <c r="N29" s="7"/>
      <c r="P29" s="5"/>
      <c r="Q29" s="6"/>
      <c r="R29" s="6"/>
      <c r="S29" s="6"/>
      <c r="T29" s="6"/>
      <c r="U29" s="6"/>
      <c r="V29" s="6"/>
      <c r="W29" s="6"/>
      <c r="X29" s="6"/>
      <c r="Y29" s="12"/>
      <c r="Z29" s="7"/>
    </row>
    <row r="30" spans="2:26" ht="15" thickBot="1" x14ac:dyDescent="0.4">
      <c r="B30" s="5"/>
      <c r="C30" s="6"/>
      <c r="D30" s="6"/>
      <c r="E30" s="12"/>
      <c r="F30" s="6"/>
      <c r="G30" s="6"/>
      <c r="H30" s="6"/>
      <c r="I30" s="12"/>
      <c r="J30" s="6"/>
      <c r="K30" s="6"/>
      <c r="L30" s="6"/>
      <c r="M30" s="12"/>
      <c r="N30" s="7"/>
      <c r="P30" s="5"/>
      <c r="Q30" s="6"/>
      <c r="R30" s="6"/>
      <c r="S30" s="6"/>
      <c r="T30" s="6"/>
      <c r="U30" s="6"/>
      <c r="V30" s="6"/>
      <c r="W30" s="6"/>
      <c r="X30" s="6"/>
      <c r="Y30" s="13"/>
      <c r="Z30" s="7"/>
    </row>
    <row r="31" spans="2:26" ht="15" thickBot="1" x14ac:dyDescent="0.4">
      <c r="B31" s="5"/>
      <c r="C31" s="6"/>
      <c r="D31" s="6"/>
      <c r="E31" s="12"/>
      <c r="F31" s="6"/>
      <c r="G31" s="6"/>
      <c r="H31" s="6"/>
      <c r="I31" s="12"/>
      <c r="J31" s="6"/>
      <c r="K31" s="6"/>
      <c r="L31" s="6"/>
      <c r="M31" s="12"/>
      <c r="N31" s="7"/>
      <c r="P31" s="5"/>
      <c r="Q31" s="6"/>
      <c r="R31" s="6"/>
      <c r="S31" s="6"/>
      <c r="T31" s="6"/>
      <c r="U31" s="6"/>
      <c r="V31" s="6"/>
      <c r="W31" s="6"/>
      <c r="X31" s="6"/>
      <c r="Y31" s="6"/>
      <c r="Z31" s="7"/>
    </row>
    <row r="32" spans="2:26" ht="15" thickBot="1" x14ac:dyDescent="0.4">
      <c r="B32" s="5"/>
      <c r="C32" s="6"/>
      <c r="D32" s="6"/>
      <c r="E32" s="13"/>
      <c r="F32" s="6"/>
      <c r="G32" s="11"/>
      <c r="H32" s="6"/>
      <c r="I32" s="13"/>
      <c r="J32" s="6"/>
      <c r="K32" s="11"/>
      <c r="L32" s="6"/>
      <c r="M32" s="13"/>
      <c r="N32" s="7"/>
      <c r="P32" s="8"/>
      <c r="Q32" s="9"/>
      <c r="R32" s="9"/>
      <c r="S32" s="9"/>
      <c r="T32" s="9"/>
      <c r="U32" s="9"/>
      <c r="V32" s="9"/>
      <c r="W32" s="9"/>
      <c r="X32" s="9"/>
      <c r="Y32" s="9"/>
      <c r="Z32" s="10"/>
    </row>
    <row r="33" spans="2:14" x14ac:dyDescent="0.35">
      <c r="B33" s="5"/>
      <c r="C33" s="6"/>
      <c r="D33" s="6"/>
      <c r="E33" s="6"/>
      <c r="F33" s="6"/>
      <c r="G33" s="12"/>
      <c r="H33" s="6"/>
      <c r="I33" s="6"/>
      <c r="J33" s="6"/>
      <c r="K33" s="12"/>
      <c r="L33" s="6"/>
      <c r="M33" s="6"/>
      <c r="N33" s="7"/>
    </row>
    <row r="34" spans="2:14" ht="15" thickBot="1" x14ac:dyDescent="0.4">
      <c r="B34" s="5"/>
      <c r="C34" s="6"/>
      <c r="D34" s="6"/>
      <c r="E34" s="6"/>
      <c r="F34" s="6"/>
      <c r="G34" s="12"/>
      <c r="H34" s="6"/>
      <c r="I34" s="6"/>
      <c r="J34" s="6"/>
      <c r="K34" s="12"/>
      <c r="L34" s="6"/>
      <c r="M34" s="6"/>
      <c r="N34" s="7"/>
    </row>
    <row r="35" spans="2:14" ht="15" thickBot="1" x14ac:dyDescent="0.4">
      <c r="B35" s="5"/>
      <c r="C35" s="6"/>
      <c r="D35" s="6"/>
      <c r="E35" s="6"/>
      <c r="F35" s="6"/>
      <c r="G35" s="13"/>
      <c r="H35" s="6"/>
      <c r="I35" s="11"/>
      <c r="J35" s="6"/>
      <c r="K35" s="13"/>
      <c r="L35" s="6"/>
      <c r="M35" s="11"/>
      <c r="N35" s="7"/>
    </row>
    <row r="36" spans="2:14" x14ac:dyDescent="0.35">
      <c r="B36" s="5"/>
      <c r="C36" s="6"/>
      <c r="D36" s="6"/>
      <c r="E36" s="6"/>
      <c r="F36" s="6"/>
      <c r="G36" s="6"/>
      <c r="H36" s="6"/>
      <c r="I36" s="12"/>
      <c r="J36" s="6"/>
      <c r="K36" s="6"/>
      <c r="L36" s="6"/>
      <c r="M36" s="12"/>
      <c r="N36" s="7"/>
    </row>
    <row r="37" spans="2:14" ht="15" thickBot="1" x14ac:dyDescent="0.4">
      <c r="B37" s="5"/>
      <c r="C37" s="6"/>
      <c r="D37" s="6"/>
      <c r="E37" s="6"/>
      <c r="F37" s="6"/>
      <c r="G37" s="6"/>
      <c r="H37" s="6"/>
      <c r="I37" s="12"/>
      <c r="J37" s="6"/>
      <c r="K37" s="6"/>
      <c r="L37" s="6"/>
      <c r="M37" s="12"/>
      <c r="N37" s="7"/>
    </row>
    <row r="38" spans="2:14" ht="15" thickBot="1" x14ac:dyDescent="0.4">
      <c r="B38" s="5"/>
      <c r="C38" s="6"/>
      <c r="D38" s="6"/>
      <c r="E38" s="6"/>
      <c r="F38" s="6"/>
      <c r="G38" s="6"/>
      <c r="H38" s="6"/>
      <c r="I38" s="13"/>
      <c r="J38" s="6"/>
      <c r="K38" s="11"/>
      <c r="L38" s="6"/>
      <c r="M38" s="13"/>
      <c r="N38" s="7"/>
    </row>
    <row r="39" spans="2:14" x14ac:dyDescent="0.35">
      <c r="B39" s="5"/>
      <c r="C39" s="6"/>
      <c r="D39" s="6"/>
      <c r="E39" s="6"/>
      <c r="F39" s="6"/>
      <c r="G39" s="6"/>
      <c r="H39" s="6"/>
      <c r="I39" s="6"/>
      <c r="J39" s="6"/>
      <c r="K39" s="12"/>
      <c r="L39" s="6"/>
      <c r="M39" s="6"/>
      <c r="N39" s="7"/>
    </row>
    <row r="40" spans="2:14" ht="15" thickBot="1" x14ac:dyDescent="0.4">
      <c r="B40" s="5"/>
      <c r="C40" s="6"/>
      <c r="D40" s="6"/>
      <c r="E40" s="6"/>
      <c r="F40" s="6"/>
      <c r="G40" s="6"/>
      <c r="H40" s="6"/>
      <c r="I40" s="6"/>
      <c r="J40" s="6"/>
      <c r="K40" s="12"/>
      <c r="L40" s="6"/>
      <c r="M40" s="6"/>
      <c r="N40" s="7"/>
    </row>
    <row r="41" spans="2:14" ht="15" thickBot="1" x14ac:dyDescent="0.4">
      <c r="B41" s="5"/>
      <c r="C41" s="6"/>
      <c r="D41" s="6"/>
      <c r="E41" s="6"/>
      <c r="F41" s="6"/>
      <c r="G41" s="6"/>
      <c r="H41" s="6"/>
      <c r="I41" s="6"/>
      <c r="J41" s="6"/>
      <c r="K41" s="13"/>
      <c r="L41" s="6"/>
      <c r="M41" s="11"/>
      <c r="N41" s="7"/>
    </row>
    <row r="42" spans="2:14" x14ac:dyDescent="0.35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12"/>
      <c r="N42" s="7"/>
    </row>
    <row r="43" spans="2:14" x14ac:dyDescent="0.3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12"/>
      <c r="N43" s="7"/>
    </row>
    <row r="44" spans="2:14" ht="15" thickBot="1" x14ac:dyDescent="0.4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13"/>
      <c r="N44" s="7"/>
    </row>
    <row r="45" spans="2:14" x14ac:dyDescent="0.35">
      <c r="B45" s="8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10"/>
    </row>
    <row r="46" spans="2:14" x14ac:dyDescent="0.35">
      <c r="B46" s="24"/>
      <c r="C46" s="24"/>
      <c r="D46" s="24"/>
      <c r="E46" s="24"/>
      <c r="F46" s="24"/>
      <c r="G46" s="24"/>
      <c r="H46" s="24"/>
      <c r="I46" s="24"/>
      <c r="J46" s="24"/>
      <c r="K46" s="24"/>
    </row>
    <row r="47" spans="2:14" x14ac:dyDescent="0.35">
      <c r="B47" s="24"/>
      <c r="C47" s="24"/>
      <c r="D47" s="24"/>
      <c r="E47" s="24"/>
      <c r="F47" s="24"/>
      <c r="G47" s="24"/>
      <c r="H47" s="24"/>
      <c r="I47" s="24"/>
      <c r="J47" s="24"/>
      <c r="K47" s="24"/>
    </row>
    <row r="48" spans="2:14" x14ac:dyDescent="0.35">
      <c r="B48" s="24"/>
      <c r="C48" s="24"/>
      <c r="D48" s="24"/>
      <c r="E48" s="24"/>
      <c r="F48" s="24"/>
      <c r="G48" s="24"/>
      <c r="H48" s="24"/>
      <c r="I48" s="24"/>
      <c r="J48" s="24"/>
      <c r="K48" s="24"/>
    </row>
    <row r="49" spans="2:11" x14ac:dyDescent="0.35">
      <c r="B49" s="24"/>
      <c r="C49" s="24"/>
      <c r="D49" s="24"/>
      <c r="E49" s="24"/>
      <c r="F49" s="24"/>
      <c r="G49" s="24"/>
      <c r="H49" s="24"/>
      <c r="I49" s="24"/>
      <c r="J49" s="24"/>
      <c r="K49" s="24"/>
    </row>
    <row r="50" spans="2:11" x14ac:dyDescent="0.35">
      <c r="B50" s="24"/>
      <c r="C50" s="24"/>
      <c r="D50" s="24"/>
      <c r="E50" s="24"/>
      <c r="F50" s="24"/>
      <c r="G50" s="24"/>
      <c r="H50" s="24"/>
      <c r="I50" s="24"/>
      <c r="J50" s="24"/>
      <c r="K50" s="24"/>
    </row>
    <row r="51" spans="2:11" x14ac:dyDescent="0.35">
      <c r="B51" s="24"/>
      <c r="C51" s="24"/>
      <c r="D51" s="24"/>
      <c r="E51" s="24"/>
      <c r="F51" s="24"/>
      <c r="G51" s="24"/>
      <c r="H51" s="24"/>
      <c r="I51" s="24"/>
      <c r="J51" s="24"/>
      <c r="K51" s="24"/>
    </row>
    <row r="52" spans="2:11" x14ac:dyDescent="0.35">
      <c r="B52" s="24"/>
      <c r="C52" s="24"/>
      <c r="D52" s="24"/>
      <c r="E52" s="24"/>
      <c r="F52" s="24"/>
      <c r="G52" s="24"/>
      <c r="H52" s="24"/>
      <c r="I52" s="24"/>
      <c r="J52" s="24"/>
      <c r="K52" s="24"/>
    </row>
    <row r="53" spans="2:11" x14ac:dyDescent="0.35">
      <c r="B53" s="24"/>
      <c r="C53" s="24"/>
      <c r="D53" s="24"/>
      <c r="E53" s="24"/>
      <c r="F53" s="24"/>
      <c r="G53" s="24"/>
      <c r="H53" s="24"/>
      <c r="I53" s="24"/>
      <c r="J53" s="24"/>
      <c r="K53" s="24"/>
    </row>
    <row r="54" spans="2:11" x14ac:dyDescent="0.35">
      <c r="B54" s="24"/>
      <c r="C54" s="24"/>
      <c r="D54" s="24"/>
      <c r="E54" s="24"/>
      <c r="F54" s="24"/>
      <c r="G54" s="24"/>
      <c r="H54" s="24"/>
      <c r="I54" s="24"/>
      <c r="J54" s="24"/>
      <c r="K54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CRR Tree Forward</vt:lpstr>
      <vt:lpstr>Derman European</vt:lpstr>
      <vt:lpstr>Derman American</vt:lpstr>
      <vt:lpstr>Forward Rates</vt:lpstr>
      <vt:lpstr>DividendsBBG</vt:lpstr>
      <vt:lpstr>March Options</vt:lpstr>
      <vt:lpstr>April Options</vt:lpstr>
      <vt:lpstr>May Options</vt:lpstr>
      <vt:lpstr>June Options</vt:lpstr>
      <vt:lpstr>July Options</vt:lpstr>
      <vt:lpstr>Aug Options</vt:lpstr>
      <vt:lpstr>Sep Options</vt:lpstr>
      <vt:lpstr>Oct Options</vt:lpstr>
      <vt:lpstr>Tree Template</vt:lpstr>
      <vt:lpstr>'Derman European'!delta_t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2018-03-10T15:18:11Z</dcterms:created>
  <dcterms:modified xsi:type="dcterms:W3CDTF">2018-03-29T11:43:55Z</dcterms:modified>
</cp:coreProperties>
</file>